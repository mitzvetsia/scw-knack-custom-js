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ROJECTIONS" sheetId="2" state="visible" r:id="rId4"/>
    <sheet name="SALES TEAM" sheetId="3" state="visible" r:id="rId5"/>
    <sheet name="STAFFING" sheetId="4" state="visible" r:id="rId6"/>
    <sheet name="EXPENSES" sheetId="5" state="visible" r:id="rId7"/>
    <sheet name="XERO ACTUALS" sheetId="6" state="visible" r:id="rId8"/>
    <sheet name="RAMP SCHEDU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<sst xmlns="http://schemas.openxmlformats.org/spreadsheetml/2006/main" count="2364" uniqueCount="558">
  <si>
    <t xml:space="preserve">SCW BUDGETING &amp; PROJECTIONS TOOL — 2026</t>
  </si>
  <si>
    <t xml:space="preserve">Built 2026-08-21 from: Xero General Ledger Detail (Jan 1 – Aug 21 2026, accrual), the legacy budgeting tool exports (contractsexpenses.csv + allocations.csv), and the legacy BUDGET workbook (staffing roster, sales roster, ramp schedules).</t>
  </si>
  <si>
    <t xml:space="preserve">HOW THE TABS FIT TOGETHER</t>
  </si>
  <si>
    <t xml:space="preserve">PROJECTIONS — the leadership view. Actual months show Xero as booked; projected months are driven by the three control tabs. Modest and stretch scenarios display side by side.</t>
  </si>
  <si>
    <t xml:space="preserve">SALES TEAM — one row per rep. Set MODEST % and STRETCH % attainment per person (e.g. Zach 80% / Stu 100%), ramp curve and start month. Rep commissions + Sales Manager + Director overrides = the comp liability that flows to PROJECTIONS.</t>
  </si>
  <si>
    <t xml:space="preserve">STAFFING — headcount × fully-loaded monthly cost for every role. Model hires/exits by editing monthly headcount or adding rows; raise levers: per-role $ or %, or department-wide % (table at the bottom), from a chosen month.</t>
  </si>
  <si>
    <t xml:space="preserve">EXPENSES — every recurring cost with ON/OFF, XERO/BUDGET source pick, $ override, % adjust, and FROM/TO months. Blank rows at the bottom to add new expenses.</t>
  </si>
  <si>
    <t xml:space="preserve">XERO ACTUALS — expenses as booked, by vendor by month, with trend status (STEADY / GROWING / DROPPING / DROPPED / NEW / ONE-TIME / PERIODIC) and a suggested forward $/mo. Bottom block = actual P&amp;L summary that PROJECTIONS reads.</t>
  </si>
  <si>
    <t xml:space="preserve">RAMP SCHEDULES — editable revenue ramp curves referenced by SALES TEAM.</t>
  </si>
  <si>
    <t xml:space="preserve">COLOR LEGEND</t>
  </si>
  <si>
    <t xml:space="preserve">BLUE text = yours to edit.  YELLOW fill = master levers.  Black = formulas (leave).  GREEN = pulls from another tab.  Dark gray = static data imported from Xero/the budget tool (refresh by re-running the build script).</t>
  </si>
  <si>
    <t xml:space="preserve">RULES &amp; ASSUMPTIONS BAKED IN</t>
  </si>
  <si>
    <t xml:space="preserve">1. Where the budgeting tool allocates a vendor to a different department than Xero's tracking category, the budgeting tool wins (20 conflicts found — see CONFLICT column on XERO ACTUALS).</t>
  </si>
  <si>
    <t xml:space="preserve">2. Per-seat licenses (Slack, Google Workspace, Bonusly, and the seat portions of Hubspot/Gong/Zoom/Atlassian/Rippling/ClickUp) are modeled as LICENSES/MO on STAFFING so they scale with headcount — they are deliberately absent from the EXPENSES rows (SEAT $/MO column shows the amount moved).</t>
  </si>
  <si>
    <t xml:space="preserve">3. Payroll for actual months = Xero as booked (includes commissions). Projected months = STAFFING model + SALES TEAM variable comp, so commission rows show 0 in actual months to avoid double counting.</t>
  </si>
  <si>
    <t xml:space="preserve">4. COGS (5xxx accounts + 6734 install subcontractors) is modeled as % of sales revenue; the forward % lever defaults to the 2026 YTD actual. Site surveys (6738) are treated as a Sales operating expense per the budgeting tool's allocation.</t>
  </si>
  <si>
    <t xml:space="preserve">5. Commission defaults come from the legacy tool: AE 2.5%, AM 1.5%, Senior AE 1.75%, Sales Manager override 1.5% of all sales, Director 3.5% of revenue above target ($12.05M default = legacy H1 6.35M + H2 5.7M). All editable in blue.</t>
  </si>
  <si>
    <t xml:space="preserve">6. Tax + matching % per role is carried from the legacy tool (mostly 1%). If you want a fuller employer-burden rate, edit column G on STAFFING.</t>
  </si>
  <si>
    <t xml:space="preserve">7. August Xero data is partial (through Aug 21) — the actuals cutoff on PROJECTIONS defaults to month 7 (July).</t>
  </si>
  <si>
    <t xml:space="preserve">8. 'Suggested $/mo' per vendor: DROPPED → $0; ONE-TIME &amp; PERIODIC → YTD ÷ 7.68 months; NEW → average since first activity; otherwise average of May–Jul. Override any of it on EXPENSES.</t>
  </si>
  <si>
    <t xml:space="preserve">REFRESHING THE DATA</t>
  </si>
  <si>
    <t xml:space="preserve">Re-export the Xero GL Detail + the two CSVs, re-run the aggregation + tools/budgeting/build_budget_workbook.py in the repo, and a fresh workbook is produced. Your edits live in this file, so copy your blue cells forward (or ask Claude to merge).</t>
  </si>
  <si>
    <t xml:space="preserve">PROJECTIONS — 2026 P&amp;L: Xero actuals through the cutoff month, model after</t>
  </si>
  <si>
    <t xml:space="preserve">For leadership review. Columns up to the cutoff show Xero as booked; later columns are driven by STAFFING (payroll), SALES TEAM (revenue + variable comp, modest vs stretch), and EXPENSES (planned opex). Both scenarios display simultaneously. Yellow cells are the master levers.</t>
  </si>
  <si>
    <t xml:space="preserve">Actuals through month #</t>
  </si>
  <si>
    <t xml:space="preserve">COGS % fwd</t>
  </si>
  <si>
    <t xml:space="preserve">Other income $/mo fwd</t>
  </si>
  <si>
    <t xml:space="preserve">Labor hedge % fwd</t>
  </si>
  <si>
    <t xml:space="preserve">Opex hedge % fwd</t>
  </si>
  <si>
    <t xml:space="preserve">(Aug is partial in Xero — leave cutoff at 7 unless data refreshed)</t>
  </si>
  <si>
    <t xml:space="preserve">2026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</si>
  <si>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</si>
  <si>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</si>
  <si>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</si>
  <si>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</si>
  <si>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</si>
  <si>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</si>
  <si>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</si>
  <si>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</si>
  <si>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</si>
  <si>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</si>
  <si>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</si>
  <si>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</si>
  <si>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FY 2026</t>
  </si>
  <si>
    <t xml:space="preserve">REVENUE</t>
  </si>
  <si>
    <t xml:space="preserve">Sales revenue — MODEST</t>
  </si>
  <si>
    <t xml:space="preserve">Sales revenue — STRETCH</t>
  </si>
  <si>
    <t xml:space="preserve">Other income (rental, interest, rebates)</t>
  </si>
  <si>
    <t xml:space="preserve">TOTAL REVENUE — MODEST</t>
  </si>
  <si>
    <t xml:space="preserve">TOTAL REVENUE — STRETCH</t>
  </si>
  <si>
    <t xml:space="preserve">COST OF GOODS &amp; INSTALL DELIVERY</t>
  </si>
  <si>
    <t xml:space="preserve">COGS % of sales revenue</t>
  </si>
  <si>
    <t xml:space="preserve">COGS — MODEST</t>
  </si>
  <si>
    <t xml:space="preserve">COGS — STRETCH</t>
  </si>
  <si>
    <t xml:space="preserve">GROSS PROFIT — MODEST</t>
  </si>
  <si>
    <t xml:space="preserve">GROSS PROFIT — STRETCH</t>
  </si>
  <si>
    <t xml:space="preserve">PAYROLL &amp; SALES COMP</t>
  </si>
  <si>
    <t xml:space="preserve">Payroll — staffing model (base + benefits + licenses)</t>
  </si>
  <si>
    <t xml:space="preserve">Variable sales comp — MODEST (in booked payroll for actual months)</t>
  </si>
  <si>
    <t xml:space="preserve">Variable sales comp — STRETCH (in booked payroll for actual months)</t>
  </si>
  <si>
    <t xml:space="preserve">OPERATING EXPENSES (dept view — budgeting-tool allocations win)</t>
  </si>
  <si>
    <t xml:space="preserve">Sales</t>
  </si>
  <si>
    <t xml:space="preserve">Marketing</t>
  </si>
  <si>
    <t xml:space="preserve">Software Development</t>
  </si>
  <si>
    <t xml:space="preserve">Installation Services</t>
  </si>
  <si>
    <t xml:space="preserve">Technical Support</t>
  </si>
  <si>
    <t xml:space="preserve">Purchasing &amp; Fulfillment</t>
  </si>
  <si>
    <t xml:space="preserve">03 - HR &amp; Business Administration Manager</t>
  </si>
  <si>
    <t xml:space="preserve">Facillities</t>
  </si>
  <si>
    <t xml:space="preserve">Exec</t>
  </si>
  <si>
    <t xml:space="preserve">Product</t>
  </si>
  <si>
    <t xml:space="preserve">General Overhead</t>
  </si>
  <si>
    <t xml:space="preserve">Unassigned</t>
  </si>
  <si>
    <t xml:space="preserve">TOTAL OPERATING EXPENSES</t>
  </si>
  <si>
    <t xml:space="preserve">BOTTOM LINE</t>
  </si>
  <si>
    <t xml:space="preserve">NET PROFIT — MODEST</t>
  </si>
  <si>
    <t xml:space="preserve">NET PROFIT — STRETCH</t>
  </si>
  <si>
    <t xml:space="preserve">Net margin — modest</t>
  </si>
  <si>
    <t xml:space="preserve">Net margin — stretch</t>
  </si>
  <si>
    <t xml:space="preserve">Break-even sales revenue (payroll + opex, excl. variable comp)</t>
  </si>
  <si>
    <t xml:space="preserve">Cumulative net — modest</t>
  </si>
  <si>
    <t xml:space="preserve">Cumulative net — stretch</t>
  </si>
  <si>
    <t xml:space="preserve">SALES TEAM — individual reps, ramps, MODEST vs STRETCH attainment, and comp liability</t>
  </si>
  <si>
    <t xml:space="preserve">Blue = editable. Each rep: pick a ramp curve, a start month (may be ≤ 0 if they started before 2026), then set attainment per scenario — e.g. Zach 80% modest / 100% stretch. Monthly revenue = ramp value for their tenure month × attainment. COMM % is paid on attained revenue (defaults from the legacy tool: AE 2.5%, AM 1.5%, Sr AE 1.75% — edit freely). Sales Manager + Director overrides are computed below the table. Base salaries live on STAFFING.</t>
  </si>
  <si>
    <t xml:space="preserve">Annual revenue target ($)</t>
  </si>
  <si>
    <t xml:space="preserve">SM override % (of all sales)</t>
  </si>
  <si>
    <t xml:space="preserve">Director override % (above target)</t>
  </si>
  <si>
    <t xml:space="preserve">Monthly target</t>
  </si>
  <si>
    <t xml:space="preserve">REP / SOURCE</t>
  </si>
  <si>
    <t xml:space="preserve">ROLE</t>
  </si>
  <si>
    <t xml:space="preserve">RAMP CURVE</t>
  </si>
  <si>
    <t xml:space="preserve">START MO (≤0 = pre-2026)</t>
  </si>
  <si>
    <t xml:space="preserve">MODEST %</t>
  </si>
  <si>
    <t xml:space="preserve">STRETCH %</t>
  </si>
  <si>
    <t xml:space="preserve">COMM %</t>
  </si>
  <si>
    <t xml:space="preserve">FY RUN-RATE QUOTA</t>
  </si>
  <si>
    <t xml:space="preserve">MOD Jan</t>
  </si>
  <si>
    <t xml:space="preserve">MOD Feb</t>
  </si>
  <si>
    <t xml:space="preserve">MOD Mar</t>
  </si>
  <si>
    <t xml:space="preserve">MOD Apr</t>
  </si>
  <si>
    <t xml:space="preserve">MOD May</t>
  </si>
  <si>
    <t xml:space="preserve">MOD Jun</t>
  </si>
  <si>
    <t xml:space="preserve">MOD Jul</t>
  </si>
  <si>
    <t xml:space="preserve">MOD Aug</t>
  </si>
  <si>
    <t xml:space="preserve">MOD Sep</t>
  </si>
  <si>
    <t xml:space="preserve">MOD Oct</t>
  </si>
  <si>
    <t xml:space="preserve">MOD Nov</t>
  </si>
  <si>
    <t xml:space="preserve">MOD Dec</t>
  </si>
  <si>
    <t xml:space="preserve">STR Jan</t>
  </si>
  <si>
    <t xml:space="preserve">STR Feb</t>
  </si>
  <si>
    <t xml:space="preserve">STR Mar</t>
  </si>
  <si>
    <t xml:space="preserve">STR Apr</t>
  </si>
  <si>
    <t xml:space="preserve">STR May</t>
  </si>
  <si>
    <t xml:space="preserve">STR Jun</t>
  </si>
  <si>
    <t xml:space="preserve">STR Jul</t>
  </si>
  <si>
    <t xml:space="preserve">STR Aug</t>
  </si>
  <si>
    <t xml:space="preserve">STR Sep</t>
  </si>
  <si>
    <t xml:space="preserve">STR Oct</t>
  </si>
  <si>
    <t xml:space="preserve">STR Nov</t>
  </si>
  <si>
    <t xml:space="preserve">STR Dec</t>
  </si>
  <si>
    <t xml:space="preserve">FY MODEST</t>
  </si>
  <si>
    <t xml:space="preserve">FY STRETCH</t>
  </si>
  <si>
    <t xml:space="preserve">FY COMM MOD</t>
  </si>
  <si>
    <t xml:space="preserve">FY COMM STR</t>
  </si>
  <si>
    <t xml:space="preserve">Senior Account Executive - Stu Moore</t>
  </si>
  <si>
    <t xml:space="preserve">STU</t>
  </si>
  <si>
    <t xml:space="preserve">Danny Mize</t>
  </si>
  <si>
    <t xml:space="preserve">Account Executive - RAMP</t>
  </si>
  <si>
    <t xml:space="preserve">AM -&gt; AE</t>
  </si>
  <si>
    <t xml:space="preserve">Sam Childers</t>
  </si>
  <si>
    <t xml:space="preserve">NEW AE</t>
  </si>
  <si>
    <t xml:space="preserve">Zach Schiff</t>
  </si>
  <si>
    <t xml:space="preserve">Kenny Hester</t>
  </si>
  <si>
    <t xml:space="preserve">Brian Burke</t>
  </si>
  <si>
    <t xml:space="preserve">Jonathan Pierce</t>
  </si>
  <si>
    <t xml:space="preserve">Cory Anderson</t>
  </si>
  <si>
    <t xml:space="preserve">Justin Atherton</t>
  </si>
  <si>
    <t xml:space="preserve">TBD</t>
  </si>
  <si>
    <t xml:space="preserve">Coalter Wilson</t>
  </si>
  <si>
    <t xml:space="preserve">Account Manager - 55K Base</t>
  </si>
  <si>
    <t xml:space="preserve">NEW AM</t>
  </si>
  <si>
    <t xml:space="preserve">Matt Hefflin</t>
  </si>
  <si>
    <t xml:space="preserve">Graham</t>
  </si>
  <si>
    <t xml:space="preserve">BEN</t>
  </si>
  <si>
    <t xml:space="preserve">MARKETING</t>
  </si>
  <si>
    <t xml:space="preserve">TEAM REVENUE — MODEST</t>
  </si>
  <si>
    <t xml:space="preserve">TEAM REVENUE — STRETCH</t>
  </si>
  <si>
    <t xml:space="preserve">Rep commissions — modest</t>
  </si>
  <si>
    <t xml:space="preserve">Rep commissions — stretch</t>
  </si>
  <si>
    <t xml:space="preserve">Sales Manager override — modest</t>
  </si>
  <si>
    <t xml:space="preserve">Sales Manager override — stretch</t>
  </si>
  <si>
    <t xml:space="preserve">Director override — modest (above target)</t>
  </si>
  <si>
    <t xml:space="preserve">Director override — stretch (above target)</t>
  </si>
  <si>
    <t xml:space="preserve">TOTAL VARIABLE SALES COMP — MODEST</t>
  </si>
  <si>
    <t xml:space="preserve">TOTAL VARIABLE SALES COMP — STRETCH</t>
  </si>
  <si>
    <t xml:space="preserve">Note: 'BEN' and 'MARKETING' rows are house/director-sourced revenue lines from the legacy tool (0% rep commission; director is paid via the override above).</t>
  </si>
  <si>
    <t xml:space="preserve">STAFFING — headcount &amp; fully-loaded payroll model (all departments)</t>
  </si>
  <si>
    <t xml:space="preserve">Blue = editable. Monthly cost = (Salary/12 + $ raise + Salary/12 × (role % + dept %)) × (1 + tax&amp;match %) + Health/mo + Licenses/mo. Raises apply from RAISE EFF. MONTH onward. Headcount cells: set the number of seats per month — add hires by raising the count from their start month, or add a whole new role in the blank rows. Sales commissions are NOT here — they are on SALES TEAM. Roster, salaries, benefits, per-seat license $ and tax % seeded from the legacy budget tool.</t>
  </si>
  <si>
    <t xml:space="preserve">month # →</t>
  </si>
  <si>
    <t xml:space="preserve">DEPARTMENT</t>
  </si>
  <si>
    <t xml:space="preserve">POSITION</t>
  </si>
  <si>
    <t xml:space="preserve">ANNUAL SALARY / OTE BASE</t>
  </si>
  <si>
    <t xml:space="preserve">SALARY /MO</t>
  </si>
  <si>
    <t xml:space="preserve">HEALTH (HDV) /MO</t>
  </si>
  <si>
    <t xml:space="preserve">LICENSES /MO (per seat)</t>
  </si>
  <si>
    <t xml:space="preserve">TAX + MATCH %</t>
  </si>
  <si>
    <t xml:space="preserve">CURRENT MONTHLY COST /HEAD</t>
  </si>
  <si>
    <t xml:space="preserve">$ RAISE /MO</t>
  </si>
  <si>
    <t xml:space="preserve">ROLE % RAISE</t>
  </si>
  <si>
    <t xml:space="preserve">DEPT % RAISE (auto)</t>
  </si>
  <si>
    <t xml:space="preserve">RAISE EFF. MONTH</t>
  </si>
  <si>
    <t xml:space="preserve">NEW MONTHLY COST /HEAD</t>
  </si>
  <si>
    <t xml:space="preserve">HC Jan</t>
  </si>
  <si>
    <t xml:space="preserve">HC Feb</t>
  </si>
  <si>
    <t xml:space="preserve">HC Mar</t>
  </si>
  <si>
    <t xml:space="preserve">HC Apr</t>
  </si>
  <si>
    <t xml:space="preserve">HC May</t>
  </si>
  <si>
    <t xml:space="preserve">HC Jun</t>
  </si>
  <si>
    <t xml:space="preserve">HC Jul</t>
  </si>
  <si>
    <t xml:space="preserve">HC Aug</t>
  </si>
  <si>
    <t xml:space="preserve">HC Sep</t>
  </si>
  <si>
    <t xml:space="preserve">HC Oct</t>
  </si>
  <si>
    <t xml:space="preserve">HC Nov</t>
  </si>
  <si>
    <t xml:space="preserve">HC Dec</t>
  </si>
  <si>
    <t xml:space="preserve">COST Jan</t>
  </si>
  <si>
    <t xml:space="preserve">COST Feb</t>
  </si>
  <si>
    <t xml:space="preserve">COST Mar</t>
  </si>
  <si>
    <t xml:space="preserve">COST Apr</t>
  </si>
  <si>
    <t xml:space="preserve">COST May</t>
  </si>
  <si>
    <t xml:space="preserve">COST Jun</t>
  </si>
  <si>
    <t xml:space="preserve">COST Jul</t>
  </si>
  <si>
    <t xml:space="preserve">COST Aug</t>
  </si>
  <si>
    <t xml:space="preserve">COST Sep</t>
  </si>
  <si>
    <t xml:space="preserve">COST Oct</t>
  </si>
  <si>
    <t xml:space="preserve">COST Nov</t>
  </si>
  <si>
    <t xml:space="preserve">COST Dec</t>
  </si>
  <si>
    <t xml:space="preserve">FY COST</t>
  </si>
  <si>
    <t xml:space="preserve">Installation Operations Assistant</t>
  </si>
  <si>
    <t xml:space="preserve">Tech Support Manager</t>
  </si>
  <si>
    <t xml:space="preserve">Technical Support Team Member - Level II</t>
  </si>
  <si>
    <t xml:space="preserve">Technical Support Team Member - Level I</t>
  </si>
  <si>
    <t xml:space="preserve">Installation Services Director</t>
  </si>
  <si>
    <t xml:space="preserve">Senior Project Manager</t>
  </si>
  <si>
    <t xml:space="preserve">Project Manager</t>
  </si>
  <si>
    <t xml:space="preserve">Junior Project Manager</t>
  </si>
  <si>
    <t xml:space="preserve">Project Coordinator</t>
  </si>
  <si>
    <t xml:space="preserve">Sales Director - Ben LaRue</t>
  </si>
  <si>
    <t xml:space="preserve">Inbound BDR</t>
  </si>
  <si>
    <t xml:space="preserve">Sales Manager</t>
  </si>
  <si>
    <t xml:space="preserve">Technical Solutions - Senior</t>
  </si>
  <si>
    <t xml:space="preserve">PPC Manager - Dillon Jones</t>
  </si>
  <si>
    <t xml:space="preserve">HR &amp; Business Administration Manager</t>
  </si>
  <si>
    <t xml:space="preserve">Finance Coordinator</t>
  </si>
  <si>
    <t xml:space="preserve">Purchasing &amp; Warehouse Manager</t>
  </si>
  <si>
    <t xml:space="preserve">Warehouse Team Member</t>
  </si>
  <si>
    <t xml:space="preserve">Chief Operating Officer</t>
  </si>
  <si>
    <t xml:space="preserve">Chief Executive Officer</t>
  </si>
  <si>
    <t xml:space="preserve">Chief Technology Officer</t>
  </si>
  <si>
    <t xml:space="preserve">UI Engineer - Ryan</t>
  </si>
  <si>
    <t xml:space="preserve">Cloud Engineer - Cooper Brown</t>
  </si>
  <si>
    <t xml:space="preserve">Principal Software Engineer - Adam Nichols</t>
  </si>
  <si>
    <t xml:space="preserve">Linux Software Engineer - Kerry Starr</t>
  </si>
  <si>
    <t xml:space="preserve">Senior Embedded Systems Engineer</t>
  </si>
  <si>
    <t xml:space="preserve">CONTRACTOR - M2 + Floorplan</t>
  </si>
  <si>
    <t xml:space="preserve">DESIGN INTERN - Emilee Morris</t>
  </si>
  <si>
    <t xml:space="preserve">Machine Learning Engineer - Michael Kazzi</t>
  </si>
  <si>
    <t xml:space="preserve">TOTALS</t>
  </si>
  <si>
    <t xml:space="preserve">EXAMPLE (not counted): Technical Support</t>
  </si>
  <si>
    <t xml:space="preserve">Support Engineer — new hire Oct</t>
  </si>
  <si>
    <t xml:space="preserve">→ headcount 0 until Oct, 1 after = hire lands Oct 1</t>
  </si>
  <si>
    <t xml:space="preserve">Xero payroll as booked (wages+tax+benefits — includes sales commissions)</t>
  </si>
  <si>
    <t xml:space="preserve">Model vs booked (Δ; model excludes commissions — expect model ≤ booked in strong sales months)</t>
  </si>
  <si>
    <t xml:space="preserve">DEPARTMENT-WIDE % RAISE (applies to every role in the dept, from each row's RAISE EFF. MONTH)</t>
  </si>
  <si>
    <t xml:space="preserve">% RAISE</t>
  </si>
  <si>
    <t xml:space="preserve">EXPENSES — every recurring cost, with ON/OFF, overrides and timing</t>
  </si>
  <si>
    <t xml:space="preserve">Blue = editable. PLANNED $/MO picks: OVERRIDE if set → otherwise XERO SUGGESTED or BUDGET TOOL $ per the USE column → × (1 + % ADJ). Turn an expense off with ON? = N (or end it early with TO MONTH). Add an expense in the blank rows (set DEPT, OVERRIDE $, FROM/TO, ON?=Y). Departments follow the budgeting tool where it disagrees with Xero. Per-seat license costs (Slack, Google, Bonusly, seat portions of Hubspot/Gong/Zoom/Atlassian/Rippling…) are NOT rows here — they ride on STAFFING (Licenses/mo × headcount); SEAT $/MO shows what portion was moved there.</t>
  </si>
  <si>
    <t xml:space="preserve">EXPENSE / VENDOR</t>
  </si>
  <si>
    <t xml:space="preserve">SOURCE</t>
  </si>
  <si>
    <t xml:space="preserve">STATUS (Xero trend)</t>
  </si>
  <si>
    <t xml:space="preserve">SHARE OF VENDOR</t>
  </si>
  <si>
    <t xml:space="preserve">SEAT $/MO (→STAFFING)</t>
  </si>
  <si>
    <t xml:space="preserve">XERO SUGGESTED $/MO</t>
  </si>
  <si>
    <t xml:space="preserve">BUDGET TOOL $/MO</t>
  </si>
  <si>
    <t xml:space="preserve">USE (XERO/BUDGET)</t>
  </si>
  <si>
    <t xml:space="preserve">OVERRIDE $/MO</t>
  </si>
  <si>
    <t xml:space="preserve">% ADJ</t>
  </si>
  <si>
    <t xml:space="preserve">FROM MO</t>
  </si>
  <si>
    <t xml:space="preserve">TO MO</t>
  </si>
  <si>
    <t xml:space="preserve">ON?</t>
  </si>
  <si>
    <t xml:space="preserve">PLANNED $/MO</t>
  </si>
  <si>
    <t xml:space="preserve">FY TOTAL</t>
  </si>
  <si>
    <t xml:space="preserve">Install Services Site Surveys</t>
  </si>
  <si>
    <t xml:space="preserve">XERO+BUDGET</t>
  </si>
  <si>
    <t xml:space="preserve">STEADY</t>
  </si>
  <si>
    <t xml:space="preserve">XERO</t>
  </si>
  <si>
    <t xml:space="preserve">Y</t>
  </si>
  <si>
    <t xml:space="preserve">Hubspot</t>
  </si>
  <si>
    <t xml:space="preserve">Gong.io Inc</t>
  </si>
  <si>
    <t xml:space="preserve">Zoom</t>
  </si>
  <si>
    <t xml:space="preserve">Hilton Garden Inn</t>
  </si>
  <si>
    <t xml:space="preserve">XERO ONLY</t>
  </si>
  <si>
    <t xml:space="preserve">NEW</t>
  </si>
  <si>
    <t xml:space="preserve">Adobe</t>
  </si>
  <si>
    <t xml:space="preserve">Netvendor.com</t>
  </si>
  <si>
    <t xml:space="preserve">BUDGET ONLY</t>
  </si>
  <si>
    <t xml:space="preserve">NOT IN XERO 2026</t>
  </si>
  <si>
    <t xml:space="preserve">BUDGET</t>
  </si>
  <si>
    <t xml:space="preserve">N</t>
  </si>
  <si>
    <t xml:space="preserve">Vendorply.com</t>
  </si>
  <si>
    <t xml:space="preserve">Realpage Vendor</t>
  </si>
  <si>
    <t xml:space="preserve">Vendor Shield</t>
  </si>
  <si>
    <t xml:space="preserve">Commonwealth of Virginia</t>
  </si>
  <si>
    <t xml:space="preserve">JB Sales OnDemand</t>
  </si>
  <si>
    <t xml:space="preserve">Google Advertising</t>
  </si>
  <si>
    <t xml:space="preserve">Bing</t>
  </si>
  <si>
    <t xml:space="preserve">Dillon Jones LLC</t>
  </si>
  <si>
    <t xml:space="preserve">LinkedIn</t>
  </si>
  <si>
    <t xml:space="preserve">CallRail</t>
  </si>
  <si>
    <t xml:space="preserve">GROWING</t>
  </si>
  <si>
    <t xml:space="preserve">Klevu</t>
  </si>
  <si>
    <t xml:space="preserve">BirdEye Inc</t>
  </si>
  <si>
    <t xml:space="preserve">Shopper Approved</t>
  </si>
  <si>
    <t xml:space="preserve">Sticker Giant</t>
  </si>
  <si>
    <t xml:space="preserve">Apollo.io</t>
  </si>
  <si>
    <t xml:space="preserve">Vimeo</t>
  </si>
  <si>
    <t xml:space="preserve">ONE-TIME</t>
  </si>
  <si>
    <t xml:space="preserve">Name-Cheap.com</t>
  </si>
  <si>
    <t xml:space="preserve">Yext Powerlistings</t>
  </si>
  <si>
    <t xml:space="preserve">Mailboxvalid</t>
  </si>
  <si>
    <t xml:space="preserve">Neverbounce</t>
  </si>
  <si>
    <t xml:space="preserve">GoDaddy.com</t>
  </si>
  <si>
    <t xml:space="preserve">PERIODIC</t>
  </si>
  <si>
    <t xml:space="preserve">IPVM Video Surveillance</t>
  </si>
  <si>
    <t xml:space="preserve">Integration Fox</t>
  </si>
  <si>
    <t xml:space="preserve">Rev.com</t>
  </si>
  <si>
    <t xml:space="preserve">Statcounter.com</t>
  </si>
  <si>
    <t xml:space="preserve">Birdeye 2025-2026</t>
  </si>
  <si>
    <t xml:space="preserve">DROPPED</t>
  </si>
  <si>
    <t xml:space="preserve">Survail Website</t>
  </si>
  <si>
    <t xml:space="preserve">Amazon Web Services</t>
  </si>
  <si>
    <t xml:space="preserve">Sliger</t>
  </si>
  <si>
    <t xml:space="preserve">CoCoa Flex Center LLC</t>
  </si>
  <si>
    <t xml:space="preserve">OPENAI (Survail LLM)</t>
  </si>
  <si>
    <t xml:space="preserve">DivioTec Inc</t>
  </si>
  <si>
    <t xml:space="preserve">QT Company</t>
  </si>
  <si>
    <t xml:space="preserve">ChatGPT (OpenAI subscriptions)</t>
  </si>
  <si>
    <t xml:space="preserve">Florida Power &amp; Light</t>
  </si>
  <si>
    <t xml:space="preserve">DigitalOcean.com</t>
  </si>
  <si>
    <t xml:space="preserve">Figma Monthly</t>
  </si>
  <si>
    <t xml:space="preserve">Doppler Technologies</t>
  </si>
  <si>
    <t xml:space="preserve">Docker, Inc</t>
  </si>
  <si>
    <t xml:space="preserve">GitHub</t>
  </si>
  <si>
    <t xml:space="preserve">Sentry</t>
  </si>
  <si>
    <t xml:space="preserve">SendGrid</t>
  </si>
  <si>
    <t xml:space="preserve">Twilio</t>
  </si>
  <si>
    <t xml:space="preserve">Vercel</t>
  </si>
  <si>
    <t xml:space="preserve">Heroku</t>
  </si>
  <si>
    <t xml:space="preserve">Digital River</t>
  </si>
  <si>
    <t xml:space="preserve">Vehicle Expenses</t>
  </si>
  <si>
    <t xml:space="preserve">Auto Owners Insurance</t>
  </si>
  <si>
    <t xml:space="preserve">Brown Investment Properties</t>
  </si>
  <si>
    <t xml:space="preserve">DKL Investments, LLC</t>
  </si>
  <si>
    <t xml:space="preserve">Verizon Wireless</t>
  </si>
  <si>
    <t xml:space="preserve">NCBEEC</t>
  </si>
  <si>
    <t xml:space="preserve">ClickUp</t>
  </si>
  <si>
    <t xml:space="preserve">ISNetworld</t>
  </si>
  <si>
    <t xml:space="preserve">OWYN Safety Management Platform</t>
  </si>
  <si>
    <t xml:space="preserve">CraftMyPDF</t>
  </si>
  <si>
    <t xml:space="preserve">Alarm Systems Licensing Board</t>
  </si>
  <si>
    <t xml:space="preserve">PDF4me</t>
  </si>
  <si>
    <t xml:space="preserve">Logmein (Go To Meeting)</t>
  </si>
  <si>
    <t xml:space="preserve">Rippling</t>
  </si>
  <si>
    <t xml:space="preserve">No-IP</t>
  </si>
  <si>
    <t xml:space="preserve">ShipEdge</t>
  </si>
  <si>
    <t xml:space="preserve">UPS Capital Insurance Agency, Inc</t>
  </si>
  <si>
    <t xml:space="preserve">Misc Warehouse Supplies</t>
  </si>
  <si>
    <t xml:space="preserve">Shit I've missed</t>
  </si>
  <si>
    <t xml:space="preserve">Google (Rippling)</t>
  </si>
  <si>
    <t xml:space="preserve">Knack</t>
  </si>
  <si>
    <t xml:space="preserve">General Office Expenses</t>
  </si>
  <si>
    <t xml:space="preserve">TaxJar</t>
  </si>
  <si>
    <t xml:space="preserve">Small Business Administration</t>
  </si>
  <si>
    <t xml:space="preserve">Dun &amp; Bradstreet</t>
  </si>
  <si>
    <t xml:space="preserve">Amtrust</t>
  </si>
  <si>
    <t xml:space="preserve">Make.com</t>
  </si>
  <si>
    <t xml:space="preserve">Slack</t>
  </si>
  <si>
    <t xml:space="preserve">Onvif, Inc</t>
  </si>
  <si>
    <t xml:space="preserve">Authorize.net</t>
  </si>
  <si>
    <t xml:space="preserve">Asheville Printing Company</t>
  </si>
  <si>
    <t xml:space="preserve">Jotform Inc</t>
  </si>
  <si>
    <t xml:space="preserve">Franchise Tax Board</t>
  </si>
  <si>
    <t xml:space="preserve">Tango</t>
  </si>
  <si>
    <t xml:space="preserve">Snappy Gifts</t>
  </si>
  <si>
    <t xml:space="preserve">Xero</t>
  </si>
  <si>
    <t xml:space="preserve">Money Management International</t>
  </si>
  <si>
    <t xml:space="preserve">PaidNice</t>
  </si>
  <si>
    <t xml:space="preserve">Mural</t>
  </si>
  <si>
    <t xml:space="preserve">ESignatures.io</t>
  </si>
  <si>
    <t xml:space="preserve">Society for HR Management</t>
  </si>
  <si>
    <t xml:space="preserve">UCollect</t>
  </si>
  <si>
    <t xml:space="preserve">Myfax</t>
  </si>
  <si>
    <t xml:space="preserve">Microsoft</t>
  </si>
  <si>
    <t xml:space="preserve">DMJPS Accounting</t>
  </si>
  <si>
    <t xml:space="preserve">Atlassian</t>
  </si>
  <si>
    <t xml:space="preserve">Bonusly</t>
  </si>
  <si>
    <t xml:space="preserve">Corporate Filings LLC</t>
  </si>
  <si>
    <t xml:space="preserve">BETTER BUSINESS BUREAU</t>
  </si>
  <si>
    <t xml:space="preserve">Compliance Serv</t>
  </si>
  <si>
    <t xml:space="preserve">Rent</t>
  </si>
  <si>
    <t xml:space="preserve">BESTBUY.COM 00994 MN 55423 US</t>
  </si>
  <si>
    <t xml:space="preserve">Republic Services</t>
  </si>
  <si>
    <t xml:space="preserve">Misc Repairs &amp; Maintenance</t>
  </si>
  <si>
    <t xml:space="preserve">Duke Energy</t>
  </si>
  <si>
    <t xml:space="preserve">ERC of WNC</t>
  </si>
  <si>
    <t xml:space="preserve">Maidpro</t>
  </si>
  <si>
    <t xml:space="preserve">Mountain Lawn Care</t>
  </si>
  <si>
    <t xml:space="preserve">Apex Pest Control</t>
  </si>
  <si>
    <t xml:space="preserve">MB Haynes</t>
  </si>
  <si>
    <t xml:space="preserve">City of Asheville</t>
  </si>
  <si>
    <t xml:space="preserve">Mountain Valley Spring Water</t>
  </si>
  <si>
    <t xml:space="preserve">Arnold Green</t>
  </si>
  <si>
    <t xml:space="preserve">Cobot</t>
  </si>
  <si>
    <t xml:space="preserve">EZ-Access</t>
  </si>
  <si>
    <t xml:space="preserve">Coverall Cleaning</t>
  </si>
  <si>
    <t xml:space="preserve">DROPPING</t>
  </si>
  <si>
    <t xml:space="preserve">Dominion Energy (PSNC)</t>
  </si>
  <si>
    <t xml:space="preserve">Pye Barker Fire &amp; Safety</t>
  </si>
  <si>
    <t xml:space="preserve">FastSigns of Asheville</t>
  </si>
  <si>
    <t xml:space="preserve">Elementor</t>
  </si>
  <si>
    <t xml:space="preserve">Mountain Air Mechanical</t>
  </si>
  <si>
    <t xml:space="preserve">Matthew Nederlanden</t>
  </si>
  <si>
    <t xml:space="preserve">Shell Oil</t>
  </si>
  <si>
    <t xml:space="preserve">Gartner</t>
  </si>
  <si>
    <t xml:space="preserve">Anthropic</t>
  </si>
  <si>
    <t xml:space="preserve">SCW</t>
  </si>
  <si>
    <t xml:space="preserve">Criminal Record Check</t>
  </si>
  <si>
    <t xml:space="preserve">Amazon Prime</t>
  </si>
  <si>
    <t xml:space="preserve">Anytime Mailbox</t>
  </si>
  <si>
    <t xml:space="preserve">Notarize Inc</t>
  </si>
  <si>
    <t xml:space="preserve">Amasty</t>
  </si>
  <si>
    <t xml:space="preserve">Bank &amp; Credit Card Fees</t>
  </si>
  <si>
    <t xml:space="preserve">Nikoloz Shiomghvdlishvili</t>
  </si>
  <si>
    <t xml:space="preserve">Capital One Rewards &amp; Credits</t>
  </si>
  <si>
    <t xml:space="preserve">Fox Rothschild</t>
  </si>
  <si>
    <t xml:space="preserve">Meghan Wright</t>
  </si>
  <si>
    <t xml:space="preserve">Spielberger Law Group</t>
  </si>
  <si>
    <t xml:space="preserve">Amazon (supplies)</t>
  </si>
  <si>
    <t xml:space="preserve">United States Treasury</t>
  </si>
  <si>
    <t xml:space="preserve">NC Secretary of State</t>
  </si>
  <si>
    <t xml:space="preserve">Indeed</t>
  </si>
  <si>
    <t xml:space="preserve">West River Telecommunications</t>
  </si>
  <si>
    <t xml:space="preserve">HP</t>
  </si>
  <si>
    <t xml:space="preserve">Birdeye Monthly</t>
  </si>
  <si>
    <t xml:space="preserve">Avigilon</t>
  </si>
  <si>
    <t xml:space="preserve">Delta Airlines</t>
  </si>
  <si>
    <t xml:space="preserve">California Secretary of State</t>
  </si>
  <si>
    <t xml:space="preserve">Fraud / Disputed Charges</t>
  </si>
  <si>
    <t xml:space="preserve">Staples</t>
  </si>
  <si>
    <t xml:space="preserve">Mississippi Secretary of State</t>
  </si>
  <si>
    <t xml:space="preserve">Birdeye Annual</t>
  </si>
  <si>
    <t xml:space="preserve">American Express</t>
  </si>
  <si>
    <t xml:space="preserve">KY DOR</t>
  </si>
  <si>
    <t xml:space="preserve">UPS Supply Chain Solutions Continuous bond 5/1/26</t>
  </si>
  <si>
    <t xml:space="preserve">Oteen Drywall LLC</t>
  </si>
  <si>
    <t xml:space="preserve">ubiquiti</t>
  </si>
  <si>
    <t xml:space="preserve">Cloudflare</t>
  </si>
  <si>
    <t xml:space="preserve">Cobblestone Inn</t>
  </si>
  <si>
    <t xml:space="preserve">TN DOR</t>
  </si>
  <si>
    <t xml:space="preserve">Blue Planet Plumbing</t>
  </si>
  <si>
    <t xml:space="preserve">Checkr</t>
  </si>
  <si>
    <t xml:space="preserve">Enterprise rent a car</t>
  </si>
  <si>
    <t xml:space="preserve">Uber Eats</t>
  </si>
  <si>
    <t xml:space="preserve">Crydermans BBQ</t>
  </si>
  <si>
    <t xml:space="preserve">A Class Academy</t>
  </si>
  <si>
    <t xml:space="preserve">VA Dept of Criminal Justice</t>
  </si>
  <si>
    <t xml:space="preserve">West Virginia State Tax Department</t>
  </si>
  <si>
    <t xml:space="preserve">Claude.AI</t>
  </si>
  <si>
    <t xml:space="preserve">Buncombe County Property Tax</t>
  </si>
  <si>
    <t xml:space="preserve">State of New York</t>
  </si>
  <si>
    <t xml:space="preserve">MANUAL</t>
  </si>
  <si>
    <t xml:space="preserve">TOTAL PLANNED OPEX</t>
  </si>
  <si>
    <t xml:space="preserve">EXAMPLE (not counted): New CRM add-on — dept Sales, OVERRIDE 500, FROM 9, TO 12, ON?=Y → $500/mo Sep–Dec</t>
  </si>
  <si>
    <t xml:space="preserve">PLANNED OPEX BY DEPARTMENT (feeds PROJECTIONS)</t>
  </si>
  <si>
    <t xml:space="preserve">FY</t>
  </si>
  <si>
    <t xml:space="preserve">TOTAL</t>
  </si>
  <si>
    <t xml:space="preserve">XERO ACTUALS — operating expenses as booked (accrual), Jan 1 – Aug 21 2026</t>
  </si>
  <si>
    <t xml:space="preserve">Static data from the Xero General Ledger Detail export. Aug is PARTIAL (through 8/21). FINAL DEPT: where the budgeting tool's allocation contradicts Xero's department tracking, the budgeting tool wins. SEAT $/mo = per-seat license portion allocated to positions — that cost is modeled on STAFFING (Licenses/mo), not here. Payroll, COGS and revenue are summarized in the P&amp;L block at the bottom, not in this vendor list.</t>
  </si>
  <si>
    <t xml:space="preserve">VENDOR / EXPENSE</t>
  </si>
  <si>
    <t xml:space="preserve">GL ACCOUNT</t>
  </si>
  <si>
    <t xml:space="preserve">XERO DEPT</t>
  </si>
  <si>
    <t xml:space="preserve">BUDGET-TOOL DEPT</t>
  </si>
  <si>
    <t xml:space="preserve">CONFLICT?</t>
  </si>
  <si>
    <t xml:space="preserve">FINAL DEPT</t>
  </si>
  <si>
    <t xml:space="preserve">Aug (partial)</t>
  </si>
  <si>
    <t xml:space="preserve">YTD</t>
  </si>
  <si>
    <t xml:space="preserve">AVG MAY–JUL</t>
  </si>
  <si>
    <t xml:space="preserve">YTD / MO</t>
  </si>
  <si>
    <t xml:space="preserve">TREND L3M/P3M</t>
  </si>
  <si>
    <t xml:space="preserve">STATUS</t>
  </si>
  <si>
    <t xml:space="preserve">SUGGESTED $/MO</t>
  </si>
  <si>
    <t xml:space="preserve">VAR vs BUDGET</t>
  </si>
  <si>
    <t xml:space="preserve">PURPOSE / NOTES</t>
  </si>
  <si>
    <t xml:space="preserve">6715 - PPC Advertising</t>
  </si>
  <si>
    <t xml:space="preserve">6738 - Site Surveys</t>
  </si>
  <si>
    <t xml:space="preserve">CONFLICT → budget wins</t>
  </si>
  <si>
    <t xml:space="preserve">—</t>
  </si>
  <si>
    <t xml:space="preserve">6482 - Bank &amp; Credit Card Fees</t>
  </si>
  <si>
    <t xml:space="preserve">6735 - Research &amp; Development</t>
  </si>
  <si>
    <t xml:space="preserve">6951 - Rent</t>
  </si>
  <si>
    <t xml:space="preserve">6728 - Subcontractors</t>
  </si>
  <si>
    <t xml:space="preserve">6950 - Business Insurance</t>
  </si>
  <si>
    <t xml:space="preserve">Auto, Umbrella, and General Liability Insurance</t>
  </si>
  <si>
    <t xml:space="preserve">6725 - Office Expenses</t>
  </si>
  <si>
    <t xml:space="preserve">Self Explanatory</t>
  </si>
  <si>
    <t xml:space="preserve">6719 - Marketing Tools</t>
  </si>
  <si>
    <t xml:space="preserve">6483 - Professional Fees</t>
  </si>
  <si>
    <t xml:space="preserve">8310 - Legal Expenses (non routine)</t>
  </si>
  <si>
    <t xml:space="preserve">6741 - Repair and Maintenance (one time)</t>
  </si>
  <si>
    <t xml:space="preserve">HRIS System</t>
  </si>
  <si>
    <t xml:space="preserve">6721 - Communications</t>
  </si>
  <si>
    <t xml:space="preserve">This is an unidentified additional account on James' card and needs to be cancelled</t>
  </si>
  <si>
    <t xml:space="preserve">Inventory Management Platform</t>
  </si>
  <si>
    <t xml:space="preserve">6720 - Dues &amp; Subscriptions</t>
  </si>
  <si>
    <t xml:space="preserve">6952 - Property Taxes</t>
  </si>
  <si>
    <t xml:space="preserve">6487 - Utilities</t>
  </si>
  <si>
    <t xml:space="preserve">Facilities and garbage removal</t>
  </si>
  <si>
    <t xml:space="preserve">Sales Tax Accounting Software</t>
  </si>
  <si>
    <t xml:space="preserve">6490 - State Income, Franchise &amp; Gross-Receipts Taxes</t>
  </si>
  <si>
    <t xml:space="preserve">Fiber line for Survail</t>
  </si>
  <si>
    <t xml:space="preserve">6481 - Interest</t>
  </si>
  <si>
    <t xml:space="preserve">6716 - Office Supplies</t>
  </si>
  <si>
    <t xml:space="preserve">Credit Screening Service</t>
  </si>
  <si>
    <t xml:space="preserve">208 - Recruitment</t>
  </si>
  <si>
    <t xml:space="preserve">6729 - Repair &amp; Maintenance (routine)</t>
  </si>
  <si>
    <t xml:space="preserve">Marketing Videos</t>
  </si>
  <si>
    <t xml:space="preserve">Software for building automations</t>
  </si>
  <si>
    <t xml:space="preserve">Payment Administration</t>
  </si>
  <si>
    <t xml:space="preserve">6488 - Travel-Other</t>
  </si>
  <si>
    <t xml:space="preserve">Project &amp; Task Management</t>
  </si>
  <si>
    <t xml:space="preserve">Call Tracking &amp; Marketing Analytics</t>
  </si>
  <si>
    <t xml:space="preserve">6060 - Web Media Expenses</t>
  </si>
  <si>
    <t xml:space="preserve">E-Commerce &amp; Conversion Platform</t>
  </si>
  <si>
    <t xml:space="preserve">On-Site Cleaning Services</t>
  </si>
  <si>
    <t xml:space="preserve">Water Utility</t>
  </si>
  <si>
    <t xml:space="preserve">Employee Recognition</t>
  </si>
  <si>
    <t xml:space="preserve">Facilities Maintenance</t>
  </si>
  <si>
    <t xml:space="preserve">6732 - Staff Development</t>
  </si>
  <si>
    <t xml:space="preserve">enables paynow button in Xero to feed through to Authorize.net</t>
  </si>
  <si>
    <t xml:space="preserve">8309 - Fraud</t>
  </si>
  <si>
    <t xml:space="preserve">This is an open source platform that helps developers build, share, run, and verify applications anywhere</t>
  </si>
  <si>
    <t xml:space="preserve">Drinking Water</t>
  </si>
  <si>
    <t xml:space="preserve">AVL Focus Platform</t>
  </si>
  <si>
    <t xml:space="preserve">6717 - Marketing</t>
  </si>
  <si>
    <t xml:space="preserve">GitHub is a developer platform that allows developers to create, store, manage and share their code.</t>
  </si>
  <si>
    <t xml:space="preserve">6491 - Business Registrations &amp; Registered Agent</t>
  </si>
  <si>
    <t xml:space="preserve">6486 - Travel - Marketing or Tradeouts</t>
  </si>
  <si>
    <t xml:space="preserve">SOP Creation Tool</t>
  </si>
  <si>
    <t xml:space="preserve">DE Registered Agent Services</t>
  </si>
  <si>
    <t xml:space="preserve">6484 - Vehicle Expense</t>
  </si>
  <si>
    <t xml:space="preserve">Platform for install agreements and misc. HR agreements etc.</t>
  </si>
  <si>
    <t xml:space="preserve">8264 - Meals and Entertainment</t>
  </si>
  <si>
    <t xml:space="preserve">6492 - Occupational Licenses &amp; Certifications</t>
  </si>
  <si>
    <t xml:space="preserve">8307 - ASK MY ACCOUNTANT</t>
  </si>
  <si>
    <t xml:space="preserve">ACTUAL P&amp;L SUMMARY (Xero, monthly)</t>
  </si>
  <si>
    <t xml:space="preserve">Sales revenue</t>
  </si>
  <si>
    <t xml:space="preserve">COGS (5xxx + install subcontractors 6734)</t>
  </si>
  <si>
    <t xml:space="preserve">Payroll as booked (wages+tax+benefits, incl. commissions)</t>
  </si>
  <si>
    <t xml:space="preserve">Opex — Sales</t>
  </si>
  <si>
    <t xml:space="preserve">Opex — Marketing</t>
  </si>
  <si>
    <t xml:space="preserve">Opex — Software Development</t>
  </si>
  <si>
    <t xml:space="preserve">Opex — Installation Services</t>
  </si>
  <si>
    <t xml:space="preserve">Opex — Technical Support</t>
  </si>
  <si>
    <t xml:space="preserve">Opex — Purchasing &amp; Fulfillment</t>
  </si>
  <si>
    <t xml:space="preserve">Opex — 03 - HR &amp; Business Administration Manager</t>
  </si>
  <si>
    <t xml:space="preserve">Opex — Facillities</t>
  </si>
  <si>
    <t xml:space="preserve">Opex — Exec</t>
  </si>
  <si>
    <t xml:space="preserve">Opex — Product</t>
  </si>
  <si>
    <t xml:space="preserve">Opex — General Overhead</t>
  </si>
  <si>
    <t xml:space="preserve">Opex — Unassigned</t>
  </si>
  <si>
    <t xml:space="preserve">Total operating expenses (non-payroll)</t>
  </si>
  <si>
    <t xml:space="preserve">Net profit as booked</t>
  </si>
  <si>
    <t xml:space="preserve">RAMP SCHEDULES — monthly revenue run-rate by tenure month</t>
  </si>
  <si>
    <t xml:space="preserve">Blue = editable. Each curve is the expected monthly sales for a rep in their Nth month. SALES TEAM rows point at a curve by name. Source: legacy budget tool RAMP SCHEDULES tab.</t>
  </si>
  <si>
    <t xml:space="preserve">CURVE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</si>
  <si>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</si>
  <si>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</si>
  <si>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</si>
  <si>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</si>
  <si>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</si>
  <si>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</si>
  <si>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</si>
  <si>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</si>
  <si>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</si>
  <si>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</si>
  <si>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</si>
  <si>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</si>
  <si>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YR1 TOTAL</t>
  </si>
  <si>
    <t xml:space="preserve">AE -&gt; AM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</si>
</sst>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\(0.0%\);\-"/>
    <numFmt numFmtId="166" formatCode="\$#,##0;&quot;($&quot;#,##0\);\-"/>
    <numFmt numFmtId="167" formatCode="0.00%"/>
    <numFmt numFmtId="168" formatCode="\$#,##0.00;&quot;($&quot;#,##0.00\);\-"/>
    <numFmt numFmtId="169" formatCode="General"/>
    <numFmt numFmtId="170" formatCode="0%"/>
    <numFmt numFmtId="171" formatCode="0%;\(0%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8"/>
      <color rgb="FFA0A0A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404040"/>
      <name val="Arial"/>
      <family val="0"/>
      <charset val="1"/>
    </font>
    <font>
      <sz val="9"/>
      <color rgb="FF808080"/>
      <name val="Arial"/>
      <family val="0"/>
      <charset val="1"/>
    </font>
    <font>
      <sz val="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9C2757"/>
      <name val="Arial"/>
      <family val="0"/>
      <charset val="1"/>
    </font>
    <font>
      <b val="true"/>
      <sz val="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D9E2F3"/>
        <bgColor rgb="FFDDEBF7"/>
      </patternFill>
    </fill>
    <fill>
      <patternFill patternType="solid">
        <fgColor rgb="FFF2F2F2"/>
        <bgColor rgb="FFEDEDED"/>
      </patternFill>
    </fill>
    <fill>
      <patternFill patternType="solid">
        <fgColor rgb="FFE8F5E9"/>
        <bgColor rgb="FFF2F2F2"/>
      </patternFill>
    </fill>
    <fill>
      <patternFill patternType="solid">
        <fgColor rgb="FFEDEDED"/>
        <bgColor rgb="FFF2F2F2"/>
      </patternFill>
    </fill>
    <fill>
      <patternFill patternType="solid">
        <fgColor rgb="FFDDEBF7"/>
        <bgColor rgb="FFD9E2F3"/>
      </patternFill>
    </fill>
    <fill>
      <patternFill patternType="solid">
        <fgColor rgb="FFE2EFDA"/>
        <bgColor rgb="FFE8F5E9"/>
      </patternFill>
    </fill>
    <fill>
      <patternFill patternType="solid">
        <fgColor rgb="FFFFF2CC"/>
        <bgColor rgb="FFFCE4D6"/>
      </patternFill>
    </fill>
    <fill>
      <patternFill patternType="solid">
        <fgColor rgb="FFF8CBAD"/>
        <bgColor rgb="FFFCE4D6"/>
      </patternFill>
    </fill>
    <fill>
      <patternFill patternType="solid">
        <fgColor rgb="FFFCE4D6"/>
        <bgColor rgb="FFFCE4EC"/>
      </patternFill>
    </fill>
    <fill>
      <patternFill patternType="solid">
        <fgColor rgb="FFFCE4E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EDEDED"/>
      <rgbColor rgb="FF808080"/>
      <rgbColor rgb="FF9999FF"/>
      <rgbColor rgb="FF9C2757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2EFDA"/>
      <rgbColor rgb="FFFCE4D6"/>
      <rgbColor rgb="FFF2F2F2"/>
      <rgbColor rgb="FFFCE4EC"/>
      <rgbColor rgb="FFCC99FF"/>
      <rgbColor rgb="FFF8CBAD"/>
      <rgbColor rgb="FF2E75B6"/>
      <rgbColor rgb="FF33CCCC"/>
      <rgbColor rgb="FF99CC00"/>
      <rgbColor rgb="FFFFCC00"/>
      <rgbColor rgb="FFBF8F00"/>
      <rgbColor rgb="FFFF6600"/>
      <rgbColor rgb="FF59595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</row>
    <row r="6" customFormat="false" ht="23.85" hidden="false" customHeight="false" outlineLevel="0" collapsed="false">
      <c r="A6" s="5" t="s">
        <v>4</v>
      </c>
    </row>
    <row r="7" customFormat="false" ht="15" hidden="false" customHeight="false" outlineLevel="0" collapsed="false">
      <c r="A7" s="5" t="s">
        <v>5</v>
      </c>
    </row>
    <row r="8" customFormat="false" ht="15" hidden="false" customHeight="false" outlineLevel="0" collapsed="false">
      <c r="A8" s="5" t="s">
        <v>6</v>
      </c>
    </row>
    <row r="9" customFormat="false" ht="23.85" hidden="false" customHeight="false" outlineLevel="0" collapsed="false">
      <c r="A9" s="5" t="s">
        <v>7</v>
      </c>
    </row>
    <row r="10" customFormat="false" ht="15" hidden="false" customHeight="false" outlineLevel="0" collapsed="false">
      <c r="A10" s="5" t="s">
        <v>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5" t="s">
        <v>12</v>
      </c>
    </row>
    <row r="17" customFormat="false" ht="23.85" hidden="false" customHeight="false" outlineLevel="0" collapsed="false">
      <c r="A17" s="5" t="s">
        <v>13</v>
      </c>
    </row>
    <row r="18" customFormat="false" ht="15" hidden="false" customHeight="false" outlineLevel="0" collapsed="false">
      <c r="A18" s="5" t="s">
        <v>14</v>
      </c>
    </row>
    <row r="19" customFormat="false" ht="23.85" hidden="false" customHeight="false" outlineLevel="0" collapsed="false">
      <c r="A19" s="5" t="s">
        <v>15</v>
      </c>
    </row>
    <row r="20" customFormat="false" ht="23.85" hidden="false" customHeight="false" outlineLevel="0" collapsed="false">
      <c r="A20" s="5" t="s">
        <v>16</v>
      </c>
    </row>
    <row r="21" customFormat="false" ht="15" hidden="false" customHeight="false" outlineLevel="0" collapsed="false">
      <c r="A21" s="5" t="s">
        <v>17</v>
      </c>
    </row>
    <row r="22" customFormat="false" ht="15" hidden="false" customHeight="false" outlineLevel="0" collapsed="false">
      <c r="A22" s="5" t="s">
        <v>18</v>
      </c>
    </row>
    <row r="23" customFormat="false" ht="15" hidden="false" customHeight="false" outlineLevel="0" collapsed="false">
      <c r="A23" s="5" t="s">
        <v>19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4" t="s">
        <v>20</v>
      </c>
    </row>
    <row r="26" customFormat="false" ht="23.85" hidden="false" customHeight="false" outlineLevel="0" collapsed="false">
      <c r="A26" s="5" t="s">
        <v>21</v>
      </c>
    </row>
    <row r="27" customFormat="false" ht="15" hidden="false" customHeight="false" outlineLevel="0" collapsed="false">
      <c r="A2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N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4" min="2" style="0" width="11"/>
  </cols>
  <sheetData>
    <row r="1" customFormat="false" ht="17.35" hidden="false" customHeight="false" outlineLevel="0" collapsed="false">
      <c r="A1" s="6" t="s">
        <v>22</v>
      </c>
    </row>
    <row r="2" customFormat="false" ht="15" hidden="false" customHeight="false" outlineLevel="0" collapsed="false">
      <c r="A2" s="7" t="s">
        <v>23</v>
      </c>
    </row>
    <row r="3" customFormat="false" ht="15" hidden="false" customHeight="false" outlineLevel="0" collapsed="false">
      <c r="A3" s="8" t="s">
        <v>24</v>
      </c>
      <c r="B3" s="9" t="n">
        <v>7</v>
      </c>
      <c r="C3" s="8" t="s">
        <v>25</v>
      </c>
      <c r="D3" s="10" t="n">
        <v>0.432</v>
      </c>
      <c r="E3" s="8" t="s">
        <v>26</v>
      </c>
      <c r="F3" s="11" t="n">
        <v>3000</v>
      </c>
      <c r="G3" s="8" t="s">
        <v>27</v>
      </c>
      <c r="H3" s="10" t="n">
        <v>0</v>
      </c>
      <c r="I3" s="8" t="s">
        <v>28</v>
      </c>
      <c r="J3" s="10" t="n">
        <v>0</v>
      </c>
      <c r="K3" s="7" t="s">
        <v>29</v>
      </c>
    </row>
    <row r="4" customFormat="false" ht="15" hidden="false" customHeight="false" outlineLevel="0" collapsed="false">
      <c r="B4" s="12" t="n">
        <v>1</v>
      </c>
      <c r="C4" s="12" t="n">
        <v>2</v>
      </c>
      <c r="D4" s="12" t="n">
        <v>3</v>
      </c>
      <c r="E4" s="12" t="n">
        <v>4</v>
      </c>
      <c r="F4" s="12" t="n">
        <v>5</v>
      </c>
      <c r="G4" s="12" t="n">
        <v>6</v>
      </c>
      <c r="H4" s="12" t="n">
        <v>7</v>
      </c>
      <c r="I4" s="12" t="n">
        <v>8</v>
      </c>
      <c r="J4" s="12" t="n">
        <v>9</v>
      </c>
      <c r="K4" s="12" t="n">
        <v>10</v>
      </c>
      <c r="L4" s="12" t="n">
        <v>11</v>
      </c>
      <c r="M4" s="12" t="n">
        <v>12</v>
      </c>
    </row>
    <row r="5" customFormat="false" ht="15" hidden="false" customHeight="false" outlineLevel="0" collapsed="false">
      <c r="A5" s="13" t="s">
        <v>30</v>
      </c>
      <c r="B5" s="13" t="s">
        <v>31</v>
      </c>
      <c r="C5" s="13" t="s">
        <v>32</v>
      </c>
      <c r="D5" s="13" t="s">
        <v>33</v>
      </c>
      <c r="E5" s="13" t="s">
        <v>34</v>
      </c>
      <c r="F5" s="13" t="s">
        <v>35</v>
      </c>
      <c r="G5" s="13" t="s">
        <v>36</v>
      </c>
      <c r="H5" s="13" t="s">
        <v>37</v>
      </c>
      <c r="I5" s="13" t="s">
        <v>38</v>
      </c>
      <c r="J5" s="13" t="s">
        <v>39</v>
      </c>
      <c r="K5" s="13" t="s">
        <v>40</v>
      </c>
      <c r="L5" s="13" t="s">
        <v>41</v>
      </c>
      <c r="M5" s="13" t="s">
        <v>42</v>
      </c>
      <c r="N5" s="13" t="s">
        <v>43</v>
      </c>
    </row>
    <row r="6" customFormat="false" ht="15" hidden="false" customHeight="false" outlineLevel="0" collapsed="false">
      <c r="B6" s="14" t="str">
        <f aca="false">IF(B$4&lt;=$B$3,"ACTUAL","PROJ")</f>
        <v>ACTUAL</v>
      </c>
      <c r="C6" s="14" t="str">
        <f aca="false">IF(C$4&lt;=$B$3,"ACTUAL","PROJ")</f>
        <v>ACTUAL</v>
      </c>
      <c r="D6" s="14" t="str">
        <f aca="false">IF(D$4&lt;=$B$3,"ACTUAL","PROJ")</f>
        <v>ACTUAL</v>
      </c>
      <c r="E6" s="14" t="str">
        <f aca="false">IF(E$4&lt;=$B$3,"ACTUAL","PROJ")</f>
        <v>ACTUAL</v>
      </c>
      <c r="F6" s="14" t="str">
        <f aca="false">IF(F$4&lt;=$B$3,"ACTUAL","PROJ")</f>
        <v>ACTUAL</v>
      </c>
      <c r="G6" s="14" t="str">
        <f aca="false">IF(G$4&lt;=$B$3,"ACTUAL","PROJ")</f>
        <v>ACTUAL</v>
      </c>
      <c r="H6" s="14" t="str">
        <f aca="false">IF(H$4&lt;=$B$3,"ACTUAL","PROJ")</f>
        <v>ACTUAL</v>
      </c>
      <c r="I6" s="14" t="str">
        <f aca="false">IF(I$4&lt;=$B$3,"ACTUAL","PROJ")</f>
        <v>PROJ</v>
      </c>
      <c r="J6" s="14" t="str">
        <f aca="false">IF(J$4&lt;=$B$3,"ACTUAL","PROJ")</f>
        <v>PROJ</v>
      </c>
      <c r="K6" s="14" t="str">
        <f aca="false">IF(K$4&lt;=$B$3,"ACTUAL","PROJ")</f>
        <v>PROJ</v>
      </c>
      <c r="L6" s="14" t="str">
        <f aca="false">IF(L$4&lt;=$B$3,"ACTUAL","PROJ")</f>
        <v>PROJ</v>
      </c>
      <c r="M6" s="14" t="str">
        <f aca="false">IF(M$4&lt;=$B$3,"ACTUAL","PROJ")</f>
        <v>PROJ</v>
      </c>
    </row>
    <row r="8" customFormat="false" ht="15" hidden="false" customHeight="false" outlineLevel="0" collapsed="false">
      <c r="A8" s="15" t="s">
        <v>44</v>
      </c>
    </row>
    <row r="9" customFormat="false" ht="15" hidden="false" customHeight="false" outlineLevel="0" collapsed="false">
      <c r="A9" s="16" t="s">
        <v>45</v>
      </c>
      <c r="B9" s="17" t="n">
        <f aca="false">IF(B$4&lt;=$B$3,'XERO ACTUALS'!B$137,'SALES TEAM'!I$26)</f>
        <v>1040301.84</v>
      </c>
      <c r="C9" s="17" t="n">
        <f aca="false">IF(C$4&lt;=$B$3,'XERO ACTUALS'!C$137,'SALES TEAM'!J$26)</f>
        <v>962653.48</v>
      </c>
      <c r="D9" s="17" t="n">
        <f aca="false">IF(D$4&lt;=$B$3,'XERO ACTUALS'!D$137,'SALES TEAM'!K$26)</f>
        <v>807402.94</v>
      </c>
      <c r="E9" s="17" t="n">
        <f aca="false">IF(E$4&lt;=$B$3,'XERO ACTUALS'!E$137,'SALES TEAM'!L$26)</f>
        <v>1266520.82</v>
      </c>
      <c r="F9" s="17" t="n">
        <f aca="false">IF(F$4&lt;=$B$3,'XERO ACTUALS'!F$137,'SALES TEAM'!M$26)</f>
        <v>1375720.78</v>
      </c>
      <c r="G9" s="17" t="n">
        <f aca="false">IF(G$4&lt;=$B$3,'XERO ACTUALS'!G$137,'SALES TEAM'!N$26)</f>
        <v>1116661.77</v>
      </c>
      <c r="H9" s="17" t="n">
        <f aca="false">IF(H$4&lt;=$B$3,'XERO ACTUALS'!H$137,'SALES TEAM'!O$26)</f>
        <v>1363598.29</v>
      </c>
      <c r="I9" s="17" t="n">
        <f aca="false">IF(I$4&lt;=$B$3,'XERO ACTUALS'!I$137,'SALES TEAM'!P$26)</f>
        <v>1173201.6</v>
      </c>
      <c r="J9" s="17" t="n">
        <f aca="false">IF(J$4&lt;=$B$3,'XERO ACTUALS'!J$137,'SALES TEAM'!Q$26)</f>
        <v>1181201.6</v>
      </c>
      <c r="K9" s="17" t="n">
        <f aca="false">IF(K$4&lt;=$B$3,'XERO ACTUALS'!K$137,'SALES TEAM'!R$26)</f>
        <v>1197203.2</v>
      </c>
      <c r="L9" s="17" t="n">
        <f aca="false">IF(L$4&lt;=$B$3,'XERO ACTUALS'!L$137,'SALES TEAM'!S$26)</f>
        <v>1221203.2</v>
      </c>
      <c r="M9" s="17" t="n">
        <f aca="false">IF(M$4&lt;=$B$3,'XERO ACTUALS'!M$137,'SALES TEAM'!T$26)</f>
        <v>1250536</v>
      </c>
      <c r="N9" s="18" t="n">
        <f aca="false">SUM(B9:M9)</f>
        <v>13956205.52</v>
      </c>
    </row>
    <row r="10" customFormat="false" ht="15" hidden="false" customHeight="false" outlineLevel="0" collapsed="false">
      <c r="A10" s="16" t="s">
        <v>46</v>
      </c>
      <c r="B10" s="17" t="n">
        <f aca="false">IF(B$4&lt;=$B$3,'XERO ACTUALS'!B$137,'SALES TEAM'!I$27)</f>
        <v>1040301.84</v>
      </c>
      <c r="C10" s="17" t="n">
        <f aca="false">IF(C$4&lt;=$B$3,'XERO ACTUALS'!C$137,'SALES TEAM'!J$27)</f>
        <v>962653.48</v>
      </c>
      <c r="D10" s="17" t="n">
        <f aca="false">IF(D$4&lt;=$B$3,'XERO ACTUALS'!D$137,'SALES TEAM'!K$27)</f>
        <v>807402.94</v>
      </c>
      <c r="E10" s="17" t="n">
        <f aca="false">IF(E$4&lt;=$B$3,'XERO ACTUALS'!E$137,'SALES TEAM'!L$27)</f>
        <v>1266520.82</v>
      </c>
      <c r="F10" s="17" t="n">
        <f aca="false">IF(F$4&lt;=$B$3,'XERO ACTUALS'!F$137,'SALES TEAM'!M$27)</f>
        <v>1375720.78</v>
      </c>
      <c r="G10" s="17" t="n">
        <f aca="false">IF(G$4&lt;=$B$3,'XERO ACTUALS'!G$137,'SALES TEAM'!N$27)</f>
        <v>1116661.77</v>
      </c>
      <c r="H10" s="17" t="n">
        <f aca="false">IF(H$4&lt;=$B$3,'XERO ACTUALS'!H$137,'SALES TEAM'!O$27)</f>
        <v>1363598.29</v>
      </c>
      <c r="I10" s="17" t="n">
        <f aca="false">IF(I$4&lt;=$B$3,'XERO ACTUALS'!I$137,'SALES TEAM'!P$27)</f>
        <v>1384002</v>
      </c>
      <c r="J10" s="17" t="n">
        <f aca="false">IF(J$4&lt;=$B$3,'XERO ACTUALS'!J$137,'SALES TEAM'!Q$27)</f>
        <v>1394002</v>
      </c>
      <c r="K10" s="17" t="n">
        <f aca="false">IF(K$4&lt;=$B$3,'XERO ACTUALS'!K$137,'SALES TEAM'!R$27)</f>
        <v>1414004</v>
      </c>
      <c r="L10" s="17" t="n">
        <f aca="false">IF(L$4&lt;=$B$3,'XERO ACTUALS'!L$137,'SALES TEAM'!S$27)</f>
        <v>1444004</v>
      </c>
      <c r="M10" s="17" t="n">
        <f aca="false">IF(M$4&lt;=$B$3,'XERO ACTUALS'!M$137,'SALES TEAM'!T$27)</f>
        <v>1480670</v>
      </c>
      <c r="N10" s="18" t="n">
        <f aca="false">SUM(B10:M10)</f>
        <v>15049541.92</v>
      </c>
    </row>
    <row r="11" customFormat="false" ht="15" hidden="false" customHeight="false" outlineLevel="0" collapsed="false">
      <c r="A11" s="16" t="s">
        <v>47</v>
      </c>
      <c r="B11" s="17" t="n">
        <f aca="false">IF(B$4&lt;=$B$3,'XERO ACTUALS'!B$138,$F$3)</f>
        <v>129229.59</v>
      </c>
      <c r="C11" s="17" t="n">
        <f aca="false">IF(C$4&lt;=$B$3,'XERO ACTUALS'!C$138,$F$3)</f>
        <v>613.42</v>
      </c>
      <c r="D11" s="17" t="n">
        <f aca="false">IF(D$4&lt;=$B$3,'XERO ACTUALS'!D$138,$F$3)</f>
        <v>15629.36</v>
      </c>
      <c r="E11" s="17" t="n">
        <f aca="false">IF(E$4&lt;=$B$3,'XERO ACTUALS'!E$138,$F$3)</f>
        <v>1233.33</v>
      </c>
      <c r="F11" s="17" t="n">
        <f aca="false">IF(F$4&lt;=$B$3,'XERO ACTUALS'!F$138,$F$3)</f>
        <v>3051.67</v>
      </c>
      <c r="G11" s="17" t="n">
        <f aca="false">IF(G$4&lt;=$B$3,'XERO ACTUALS'!G$138,$F$3)</f>
        <v>3744.51</v>
      </c>
      <c r="H11" s="17" t="n">
        <f aca="false">IF(H$4&lt;=$B$3,'XERO ACTUALS'!H$138,$F$3)</f>
        <v>11390.34</v>
      </c>
      <c r="I11" s="17" t="n">
        <f aca="false">IF(I$4&lt;=$B$3,'XERO ACTUALS'!I$138,$F$3)</f>
        <v>3000</v>
      </c>
      <c r="J11" s="17" t="n">
        <f aca="false">IF(J$4&lt;=$B$3,'XERO ACTUALS'!J$138,$F$3)</f>
        <v>3000</v>
      </c>
      <c r="K11" s="17" t="n">
        <f aca="false">IF(K$4&lt;=$B$3,'XERO ACTUALS'!K$138,$F$3)</f>
        <v>3000</v>
      </c>
      <c r="L11" s="17" t="n">
        <f aca="false">IF(L$4&lt;=$B$3,'XERO ACTUALS'!L$138,$F$3)</f>
        <v>3000</v>
      </c>
      <c r="M11" s="17" t="n">
        <f aca="false">IF(M$4&lt;=$B$3,'XERO ACTUALS'!M$138,$F$3)</f>
        <v>3000</v>
      </c>
      <c r="N11" s="18" t="n">
        <f aca="false">SUM(B11:M11)</f>
        <v>179892.22</v>
      </c>
    </row>
    <row r="12" customFormat="false" ht="15" hidden="false" customHeight="false" outlineLevel="0" collapsed="false">
      <c r="A12" s="19" t="s">
        <v>48</v>
      </c>
      <c r="B12" s="20" t="n">
        <f aca="false">B9+B11</f>
        <v>1169531.43</v>
      </c>
      <c r="C12" s="20" t="n">
        <f aca="false">C9+C11</f>
        <v>963266.9</v>
      </c>
      <c r="D12" s="20" t="n">
        <f aca="false">D9+D11</f>
        <v>823032.3</v>
      </c>
      <c r="E12" s="20" t="n">
        <f aca="false">E9+E11</f>
        <v>1267754.15</v>
      </c>
      <c r="F12" s="20" t="n">
        <f aca="false">F9+F11</f>
        <v>1378772.45</v>
      </c>
      <c r="G12" s="20" t="n">
        <f aca="false">G9+G11</f>
        <v>1120406.28</v>
      </c>
      <c r="H12" s="20" t="n">
        <f aca="false">H9+H11</f>
        <v>1374988.63</v>
      </c>
      <c r="I12" s="20" t="n">
        <f aca="false">I9+I11</f>
        <v>1176201.6</v>
      </c>
      <c r="J12" s="20" t="n">
        <f aca="false">J9+J11</f>
        <v>1184201.6</v>
      </c>
      <c r="K12" s="20" t="n">
        <f aca="false">K9+K11</f>
        <v>1200203.2</v>
      </c>
      <c r="L12" s="20" t="n">
        <f aca="false">L9+L11</f>
        <v>1224203.2</v>
      </c>
      <c r="M12" s="20" t="n">
        <f aca="false">M9+M11</f>
        <v>1253536</v>
      </c>
      <c r="N12" s="20" t="n">
        <f aca="false">SUM(B12:M12)</f>
        <v>14136097.74</v>
      </c>
    </row>
    <row r="13" customFormat="false" ht="15" hidden="false" customHeight="false" outlineLevel="0" collapsed="false">
      <c r="A13" s="19" t="s">
        <v>49</v>
      </c>
      <c r="B13" s="20" t="n">
        <f aca="false">B10+B11</f>
        <v>1169531.43</v>
      </c>
      <c r="C13" s="20" t="n">
        <f aca="false">C10+C11</f>
        <v>963266.9</v>
      </c>
      <c r="D13" s="20" t="n">
        <f aca="false">D10+D11</f>
        <v>823032.3</v>
      </c>
      <c r="E13" s="20" t="n">
        <f aca="false">E10+E11</f>
        <v>1267754.15</v>
      </c>
      <c r="F13" s="20" t="n">
        <f aca="false">F10+F11</f>
        <v>1378772.45</v>
      </c>
      <c r="G13" s="20" t="n">
        <f aca="false">G10+G11</f>
        <v>1120406.28</v>
      </c>
      <c r="H13" s="20" t="n">
        <f aca="false">H10+H11</f>
        <v>1374988.63</v>
      </c>
      <c r="I13" s="20" t="n">
        <f aca="false">I10+I11</f>
        <v>1387002</v>
      </c>
      <c r="J13" s="20" t="n">
        <f aca="false">J10+J11</f>
        <v>1397002</v>
      </c>
      <c r="K13" s="20" t="n">
        <f aca="false">K10+K11</f>
        <v>1417004</v>
      </c>
      <c r="L13" s="20" t="n">
        <f aca="false">L10+L11</f>
        <v>1447004</v>
      </c>
      <c r="M13" s="20" t="n">
        <f aca="false">M10+M11</f>
        <v>1483670</v>
      </c>
      <c r="N13" s="20" t="n">
        <f aca="false">SUM(B13:M13)</f>
        <v>15229434.14</v>
      </c>
    </row>
    <row r="15" customFormat="false" ht="15" hidden="false" customHeight="false" outlineLevel="0" collapsed="false">
      <c r="A15" s="15" t="s">
        <v>50</v>
      </c>
    </row>
    <row r="16" customFormat="false" ht="15" hidden="false" customHeight="false" outlineLevel="0" collapsed="false">
      <c r="A16" s="16" t="s">
        <v>51</v>
      </c>
      <c r="B16" s="21" t="n">
        <f aca="false">IF(B$4&lt;=$B$3,'XERO ACTUALS'!B$140,$D$3)</f>
        <v>0.508279164439428</v>
      </c>
      <c r="C16" s="21" t="n">
        <f aca="false">IF(C$4&lt;=$B$3,'XERO ACTUALS'!C$140,$D$3)</f>
        <v>0.472601594916584</v>
      </c>
      <c r="D16" s="21" t="n">
        <f aca="false">IF(D$4&lt;=$B$3,'XERO ACTUALS'!D$140,$D$3)</f>
        <v>0.463868139989681</v>
      </c>
      <c r="E16" s="21" t="n">
        <f aca="false">IF(E$4&lt;=$B$3,'XERO ACTUALS'!E$140,$D$3)</f>
        <v>0.495844695233672</v>
      </c>
      <c r="F16" s="21" t="n">
        <f aca="false">IF(F$4&lt;=$B$3,'XERO ACTUALS'!F$140,$D$3)</f>
        <v>0.505277146427926</v>
      </c>
      <c r="G16" s="21" t="n">
        <f aca="false">IF(G$4&lt;=$B$3,'XERO ACTUALS'!G$140,$D$3)</f>
        <v>0.460936251090606</v>
      </c>
      <c r="H16" s="21" t="n">
        <f aca="false">IF(H$4&lt;=$B$3,'XERO ACTUALS'!H$140,$D$3)</f>
        <v>0.170302200950985</v>
      </c>
      <c r="I16" s="21" t="n">
        <f aca="false">IF(I$4&lt;=$B$3,'XERO ACTUALS'!I$140,$D$3)</f>
        <v>0.432</v>
      </c>
      <c r="J16" s="21" t="n">
        <f aca="false">IF(J$4&lt;=$B$3,'XERO ACTUALS'!J$140,$D$3)</f>
        <v>0.432</v>
      </c>
      <c r="K16" s="21" t="n">
        <f aca="false">IF(K$4&lt;=$B$3,'XERO ACTUALS'!K$140,$D$3)</f>
        <v>0.432</v>
      </c>
      <c r="L16" s="21" t="n">
        <f aca="false">IF(L$4&lt;=$B$3,'XERO ACTUALS'!L$140,$D$3)</f>
        <v>0.432</v>
      </c>
      <c r="M16" s="21" t="n">
        <f aca="false">IF(M$4&lt;=$B$3,'XERO ACTUALS'!M$140,$D$3)</f>
        <v>0.432</v>
      </c>
      <c r="N16" s="21" t="n">
        <f aca="false">IFERROR(N17/N9,0)</f>
        <v>0.432093142405945</v>
      </c>
    </row>
    <row r="17" customFormat="false" ht="15" hidden="false" customHeight="false" outlineLevel="0" collapsed="false">
      <c r="A17" s="16" t="s">
        <v>52</v>
      </c>
      <c r="B17" s="17" t="n">
        <f aca="false">IF(B$4&lt;=$B$3,'XERO ACTUALS'!B$139,B9*B16)</f>
        <v>528763.75</v>
      </c>
      <c r="C17" s="17" t="n">
        <f aca="false">IF(C$4&lt;=$B$3,'XERO ACTUALS'!C$139,C9*C16)</f>
        <v>454951.57</v>
      </c>
      <c r="D17" s="17" t="n">
        <f aca="false">IF(D$4&lt;=$B$3,'XERO ACTUALS'!D$139,D9*D16)</f>
        <v>374528.5</v>
      </c>
      <c r="E17" s="17" t="n">
        <f aca="false">IF(E$4&lt;=$B$3,'XERO ACTUALS'!E$139,E9*E16)</f>
        <v>627997.63</v>
      </c>
      <c r="F17" s="17" t="n">
        <f aca="false">IF(F$4&lt;=$B$3,'XERO ACTUALS'!F$139,F9*F16)</f>
        <v>695120.27</v>
      </c>
      <c r="G17" s="17" t="n">
        <f aca="false">IF(G$4&lt;=$B$3,'XERO ACTUALS'!G$139,G9*G16)</f>
        <v>514709.89</v>
      </c>
      <c r="H17" s="17" t="n">
        <f aca="false">IF(H$4&lt;=$B$3,'XERO ACTUALS'!H$139,H9*H16)</f>
        <v>232223.79</v>
      </c>
      <c r="I17" s="17" t="n">
        <f aca="false">IF(I$4&lt;=$B$3,'XERO ACTUALS'!I$139,I9*I16)</f>
        <v>506823.0912</v>
      </c>
      <c r="J17" s="17" t="n">
        <f aca="false">IF(J$4&lt;=$B$3,'XERO ACTUALS'!J$139,J9*J16)</f>
        <v>510279.0912</v>
      </c>
      <c r="K17" s="17" t="n">
        <f aca="false">IF(K$4&lt;=$B$3,'XERO ACTUALS'!K$139,K9*K16)</f>
        <v>517191.7824</v>
      </c>
      <c r="L17" s="17" t="n">
        <f aca="false">IF(L$4&lt;=$B$3,'XERO ACTUALS'!L$139,L9*L16)</f>
        <v>527559.7824</v>
      </c>
      <c r="M17" s="17" t="n">
        <f aca="false">IF(M$4&lt;=$B$3,'XERO ACTUALS'!M$139,M9*M16)</f>
        <v>540231.552</v>
      </c>
      <c r="N17" s="18" t="n">
        <f aca="false">SUM(B17:M17)</f>
        <v>6030380.6992</v>
      </c>
    </row>
    <row r="18" customFormat="false" ht="15" hidden="false" customHeight="false" outlineLevel="0" collapsed="false">
      <c r="A18" s="16" t="s">
        <v>53</v>
      </c>
      <c r="B18" s="17" t="n">
        <f aca="false">IF(B$4&lt;=$B$3,'XERO ACTUALS'!B$139,B10*B16)</f>
        <v>528763.75</v>
      </c>
      <c r="C18" s="17" t="n">
        <f aca="false">IF(C$4&lt;=$B$3,'XERO ACTUALS'!C$139,C10*C16)</f>
        <v>454951.57</v>
      </c>
      <c r="D18" s="17" t="n">
        <f aca="false">IF(D$4&lt;=$B$3,'XERO ACTUALS'!D$139,D10*D16)</f>
        <v>374528.5</v>
      </c>
      <c r="E18" s="17" t="n">
        <f aca="false">IF(E$4&lt;=$B$3,'XERO ACTUALS'!E$139,E10*E16)</f>
        <v>627997.63</v>
      </c>
      <c r="F18" s="17" t="n">
        <f aca="false">IF(F$4&lt;=$B$3,'XERO ACTUALS'!F$139,F10*F16)</f>
        <v>695120.27</v>
      </c>
      <c r="G18" s="17" t="n">
        <f aca="false">IF(G$4&lt;=$B$3,'XERO ACTUALS'!G$139,G10*G16)</f>
        <v>514709.89</v>
      </c>
      <c r="H18" s="17" t="n">
        <f aca="false">IF(H$4&lt;=$B$3,'XERO ACTUALS'!H$139,H10*H16)</f>
        <v>232223.79</v>
      </c>
      <c r="I18" s="17" t="n">
        <f aca="false">IF(I$4&lt;=$B$3,'XERO ACTUALS'!I$139,I10*I16)</f>
        <v>597888.864</v>
      </c>
      <c r="J18" s="17" t="n">
        <f aca="false">IF(J$4&lt;=$B$3,'XERO ACTUALS'!J$139,J10*J16)</f>
        <v>602208.864</v>
      </c>
      <c r="K18" s="17" t="n">
        <f aca="false">IF(K$4&lt;=$B$3,'XERO ACTUALS'!K$139,K10*K16)</f>
        <v>610849.728</v>
      </c>
      <c r="L18" s="17" t="n">
        <f aca="false">IF(L$4&lt;=$B$3,'XERO ACTUALS'!L$139,L10*L16)</f>
        <v>623809.728</v>
      </c>
      <c r="M18" s="17" t="n">
        <f aca="false">IF(M$4&lt;=$B$3,'XERO ACTUALS'!M$139,M10*M16)</f>
        <v>639649.44</v>
      </c>
      <c r="N18" s="18" t="n">
        <f aca="false">SUM(B18:M18)</f>
        <v>6502702.024</v>
      </c>
    </row>
    <row r="19" customFormat="false" ht="15" hidden="false" customHeight="false" outlineLevel="0" collapsed="false">
      <c r="A19" s="19" t="s">
        <v>54</v>
      </c>
      <c r="B19" s="20" t="n">
        <f aca="false">B12-B17</f>
        <v>640767.68</v>
      </c>
      <c r="C19" s="20" t="n">
        <f aca="false">C12-C17</f>
        <v>508315.33</v>
      </c>
      <c r="D19" s="20" t="n">
        <f aca="false">D12-D17</f>
        <v>448503.8</v>
      </c>
      <c r="E19" s="20" t="n">
        <f aca="false">E12-E17</f>
        <v>639756.52</v>
      </c>
      <c r="F19" s="20" t="n">
        <f aca="false">F12-F17</f>
        <v>683652.18</v>
      </c>
      <c r="G19" s="20" t="n">
        <f aca="false">G12-G17</f>
        <v>605696.39</v>
      </c>
      <c r="H19" s="20" t="n">
        <f aca="false">H12-H17</f>
        <v>1142764.84</v>
      </c>
      <c r="I19" s="20" t="n">
        <f aca="false">I12-I17</f>
        <v>669378.5088</v>
      </c>
      <c r="J19" s="20" t="n">
        <f aca="false">J12-J17</f>
        <v>673922.5088</v>
      </c>
      <c r="K19" s="20" t="n">
        <f aca="false">K12-K17</f>
        <v>683011.4176</v>
      </c>
      <c r="L19" s="20" t="n">
        <f aca="false">L12-L17</f>
        <v>696643.4176</v>
      </c>
      <c r="M19" s="20" t="n">
        <f aca="false">M12-M17</f>
        <v>713304.448</v>
      </c>
      <c r="N19" s="20" t="n">
        <f aca="false">SUM(B19:M19)</f>
        <v>8105717.0408</v>
      </c>
    </row>
    <row r="20" customFormat="false" ht="15" hidden="false" customHeight="false" outlineLevel="0" collapsed="false">
      <c r="A20" s="19" t="s">
        <v>55</v>
      </c>
      <c r="B20" s="20" t="n">
        <f aca="false">B13-B18</f>
        <v>640767.68</v>
      </c>
      <c r="C20" s="20" t="n">
        <f aca="false">C13-C18</f>
        <v>508315.33</v>
      </c>
      <c r="D20" s="20" t="n">
        <f aca="false">D13-D18</f>
        <v>448503.8</v>
      </c>
      <c r="E20" s="20" t="n">
        <f aca="false">E13-E18</f>
        <v>639756.52</v>
      </c>
      <c r="F20" s="20" t="n">
        <f aca="false">F13-F18</f>
        <v>683652.18</v>
      </c>
      <c r="G20" s="20" t="n">
        <f aca="false">G13-G18</f>
        <v>605696.39</v>
      </c>
      <c r="H20" s="20" t="n">
        <f aca="false">H13-H18</f>
        <v>1142764.84</v>
      </c>
      <c r="I20" s="20" t="n">
        <f aca="false">I13-I18</f>
        <v>789113.136</v>
      </c>
      <c r="J20" s="20" t="n">
        <f aca="false">J13-J18</f>
        <v>794793.136</v>
      </c>
      <c r="K20" s="20" t="n">
        <f aca="false">K13-K18</f>
        <v>806154.272</v>
      </c>
      <c r="L20" s="20" t="n">
        <f aca="false">L13-L18</f>
        <v>823194.272</v>
      </c>
      <c r="M20" s="20" t="n">
        <f aca="false">M13-M18</f>
        <v>844020.56</v>
      </c>
      <c r="N20" s="20" t="n">
        <f aca="false">SUM(B20:M20)</f>
        <v>8726732.116</v>
      </c>
    </row>
    <row r="22" customFormat="false" ht="15" hidden="false" customHeight="false" outlineLevel="0" collapsed="false">
      <c r="A22" s="15" t="s">
        <v>56</v>
      </c>
    </row>
    <row r="23" customFormat="false" ht="15" hidden="false" customHeight="false" outlineLevel="0" collapsed="false">
      <c r="A23" s="16" t="s">
        <v>57</v>
      </c>
      <c r="B23" s="17" t="n">
        <f aca="false">IF(B$4&lt;=$B$3,'XERO ACTUALS'!B$141,STAFFING!Z$47*(1+$H$3))</f>
        <v>340010.78</v>
      </c>
      <c r="C23" s="17" t="n">
        <f aca="false">IF(C$4&lt;=$B$3,'XERO ACTUALS'!C$141,STAFFING!AA$47*(1+$H$3))</f>
        <v>306521.04</v>
      </c>
      <c r="D23" s="17" t="n">
        <f aca="false">IF(D$4&lt;=$B$3,'XERO ACTUALS'!D$141,STAFFING!AB$47*(1+$H$3))</f>
        <v>338404.82</v>
      </c>
      <c r="E23" s="17" t="n">
        <f aca="false">IF(E$4&lt;=$B$3,'XERO ACTUALS'!E$141,STAFFING!AC$47*(1+$H$3))</f>
        <v>356191.85</v>
      </c>
      <c r="F23" s="17" t="n">
        <f aca="false">IF(F$4&lt;=$B$3,'XERO ACTUALS'!F$141,STAFFING!AD$47*(1+$H$3))</f>
        <v>302930.9</v>
      </c>
      <c r="G23" s="17" t="n">
        <f aca="false">IF(G$4&lt;=$B$3,'XERO ACTUALS'!G$141,STAFFING!AE$47*(1+$H$3))</f>
        <v>232740.43</v>
      </c>
      <c r="H23" s="17" t="n">
        <f aca="false">IF(H$4&lt;=$B$3,'XERO ACTUALS'!H$141,STAFFING!AF$47*(1+$H$3))</f>
        <v>285805.48</v>
      </c>
      <c r="I23" s="17" t="n">
        <f aca="false">IF(I$4&lt;=$B$3,'XERO ACTUALS'!I$141,STAFFING!AG$47*(1+$H$3))</f>
        <v>326366.983333333</v>
      </c>
      <c r="J23" s="17" t="n">
        <f aca="false">IF(J$4&lt;=$B$3,'XERO ACTUALS'!J$141,STAFFING!AH$47*(1+$H$3))</f>
        <v>326366.983333333</v>
      </c>
      <c r="K23" s="17" t="n">
        <f aca="false">IF(K$4&lt;=$B$3,'XERO ACTUALS'!K$141,STAFFING!AI$47*(1+$H$3))</f>
        <v>326366.983333333</v>
      </c>
      <c r="L23" s="17" t="n">
        <f aca="false">IF(L$4&lt;=$B$3,'XERO ACTUALS'!L$141,STAFFING!AJ$47*(1+$H$3))</f>
        <v>326366.983333333</v>
      </c>
      <c r="M23" s="17" t="n">
        <f aca="false">IF(M$4&lt;=$B$3,'XERO ACTUALS'!M$141,STAFFING!AK$47*(1+$H$3))</f>
        <v>326366.983333333</v>
      </c>
      <c r="N23" s="18" t="n">
        <f aca="false">SUM(B23:M23)</f>
        <v>3794440.21666667</v>
      </c>
    </row>
    <row r="24" customFormat="false" ht="15" hidden="false" customHeight="false" outlineLevel="0" collapsed="false">
      <c r="A24" s="16" t="s">
        <v>58</v>
      </c>
      <c r="B24" s="17" t="n">
        <f aca="false">IF(B$4&lt;=$B$3,0,'SALES TEAM'!I$34)</f>
        <v>0</v>
      </c>
      <c r="C24" s="17" t="n">
        <f aca="false">IF(C$4&lt;=$B$3,0,'SALES TEAM'!J$34)</f>
        <v>0</v>
      </c>
      <c r="D24" s="17" t="n">
        <f aca="false">IF(D$4&lt;=$B$3,0,'SALES TEAM'!K$34)</f>
        <v>0</v>
      </c>
      <c r="E24" s="17" t="n">
        <f aca="false">IF(E$4&lt;=$B$3,0,'SALES TEAM'!L$34)</f>
        <v>0</v>
      </c>
      <c r="F24" s="17" t="n">
        <f aca="false">IF(F$4&lt;=$B$3,0,'SALES TEAM'!M$34)</f>
        <v>0</v>
      </c>
      <c r="G24" s="17" t="n">
        <f aca="false">IF(G$4&lt;=$B$3,0,'SALES TEAM'!N$34)</f>
        <v>0</v>
      </c>
      <c r="H24" s="17" t="n">
        <f aca="false">IF(H$4&lt;=$B$3,0,'SALES TEAM'!O$34)</f>
        <v>0</v>
      </c>
      <c r="I24" s="17" t="n">
        <f aca="false">IF(I$4&lt;=$B$3,0,'SALES TEAM'!P$34)</f>
        <v>46289.2866666667</v>
      </c>
      <c r="J24" s="17" t="n">
        <f aca="false">IF(J$4&lt;=$B$3,0,'SALES TEAM'!Q$34)</f>
        <v>46889.2866666667</v>
      </c>
      <c r="K24" s="17" t="n">
        <f aca="false">IF(K$4&lt;=$B$3,0,'SALES TEAM'!R$34)</f>
        <v>48089.4066666667</v>
      </c>
      <c r="L24" s="17" t="n">
        <f aca="false">IF(L$4&lt;=$B$3,0,'SALES TEAM'!S$34)</f>
        <v>49889.4066666667</v>
      </c>
      <c r="M24" s="17" t="n">
        <f aca="false">IF(M$4&lt;=$B$3,0,'SALES TEAM'!T$34)</f>
        <v>52089.3666666667</v>
      </c>
      <c r="N24" s="18" t="n">
        <f aca="false">SUM(B24:M24)</f>
        <v>243246.753333333</v>
      </c>
    </row>
    <row r="25" customFormat="false" ht="15" hidden="false" customHeight="false" outlineLevel="0" collapsed="false">
      <c r="A25" s="16" t="s">
        <v>59</v>
      </c>
      <c r="B25" s="17" t="n">
        <f aca="false">IF(B$4&lt;=$B$3,0,'SALES TEAM'!I$35)</f>
        <v>0</v>
      </c>
      <c r="C25" s="17" t="n">
        <f aca="false">IF(C$4&lt;=$B$3,0,'SALES TEAM'!J$35)</f>
        <v>0</v>
      </c>
      <c r="D25" s="17" t="n">
        <f aca="false">IF(D$4&lt;=$B$3,0,'SALES TEAM'!K$35)</f>
        <v>0</v>
      </c>
      <c r="E25" s="17" t="n">
        <f aca="false">IF(E$4&lt;=$B$3,0,'SALES TEAM'!L$35)</f>
        <v>0</v>
      </c>
      <c r="F25" s="17" t="n">
        <f aca="false">IF(F$4&lt;=$B$3,0,'SALES TEAM'!M$35)</f>
        <v>0</v>
      </c>
      <c r="G25" s="17" t="n">
        <f aca="false">IF(G$4&lt;=$B$3,0,'SALES TEAM'!N$35)</f>
        <v>0</v>
      </c>
      <c r="H25" s="17" t="n">
        <f aca="false">IF(H$4&lt;=$B$3,0,'SALES TEAM'!O$35)</f>
        <v>0</v>
      </c>
      <c r="I25" s="17" t="n">
        <f aca="false">IF(I$4&lt;=$B$3,0,'SALES TEAM'!P$35)</f>
        <v>61079.3166666667</v>
      </c>
      <c r="J25" s="17" t="n">
        <f aca="false">IF(J$4&lt;=$B$3,0,'SALES TEAM'!Q$35)</f>
        <v>61829.3166666667</v>
      </c>
      <c r="K25" s="17" t="n">
        <f aca="false">IF(K$4&lt;=$B$3,0,'SALES TEAM'!R$35)</f>
        <v>63329.4666666667</v>
      </c>
      <c r="L25" s="17" t="n">
        <f aca="false">IF(L$4&lt;=$B$3,0,'SALES TEAM'!S$35)</f>
        <v>65579.4666666667</v>
      </c>
      <c r="M25" s="17" t="n">
        <f aca="false">IF(M$4&lt;=$B$3,0,'SALES TEAM'!T$35)</f>
        <v>68329.4166666667</v>
      </c>
      <c r="N25" s="18" t="n">
        <f aca="false">SUM(B25:M25)</f>
        <v>320146.983333333</v>
      </c>
    </row>
    <row r="27" customFormat="false" ht="15" hidden="false" customHeight="false" outlineLevel="0" collapsed="false">
      <c r="A27" s="15" t="s">
        <v>60</v>
      </c>
    </row>
    <row r="28" customFormat="false" ht="15" hidden="false" customHeight="false" outlineLevel="0" collapsed="false">
      <c r="A28" s="16" t="s">
        <v>61</v>
      </c>
      <c r="B28" s="17" t="n">
        <f aca="false">IF(B$4&lt;=$B$3,'XERO ACTUALS'!B$142,EXPENSES!B$204*(1+$J$3))</f>
        <v>23880.9</v>
      </c>
      <c r="C28" s="17" t="n">
        <f aca="false">IF(C$4&lt;=$B$3,'XERO ACTUALS'!C$142,EXPENSES!C$204*(1+$J$3))</f>
        <v>26194.9</v>
      </c>
      <c r="D28" s="17" t="n">
        <f aca="false">IF(D$4&lt;=$B$3,'XERO ACTUALS'!D$142,EXPENSES!D$204*(1+$J$3))</f>
        <v>23702.9</v>
      </c>
      <c r="E28" s="17" t="n">
        <f aca="false">IF(E$4&lt;=$B$3,'XERO ACTUALS'!E$142,EXPENSES!E$204*(1+$J$3))</f>
        <v>33135.62</v>
      </c>
      <c r="F28" s="17" t="n">
        <f aca="false">IF(F$4&lt;=$B$3,'XERO ACTUALS'!F$142,EXPENSES!F$204*(1+$J$3))</f>
        <v>21940.07</v>
      </c>
      <c r="G28" s="17" t="n">
        <f aca="false">IF(G$4&lt;=$B$3,'XERO ACTUALS'!G$142,EXPENSES!G$204*(1+$J$3))</f>
        <v>23914.68</v>
      </c>
      <c r="H28" s="17" t="n">
        <f aca="false">IF(H$4&lt;=$B$3,'XERO ACTUALS'!H$142,EXPENSES!H$204*(1+$J$3))</f>
        <v>34292.15</v>
      </c>
      <c r="I28" s="17" t="n">
        <f aca="false">IF(I$4&lt;=$B$3,'XERO ACTUALS'!I$142,EXPENSES!I$204*(1+$J$3))</f>
        <v>24880.6181746667</v>
      </c>
      <c r="J28" s="17" t="n">
        <f aca="false">IF(J$4&lt;=$B$3,'XERO ACTUALS'!J$142,EXPENSES!J$204*(1+$J$3))</f>
        <v>24880.6181746667</v>
      </c>
      <c r="K28" s="17" t="n">
        <f aca="false">IF(K$4&lt;=$B$3,'XERO ACTUALS'!K$142,EXPENSES!K$204*(1+$J$3))</f>
        <v>24880.6181746667</v>
      </c>
      <c r="L28" s="17" t="n">
        <f aca="false">IF(L$4&lt;=$B$3,'XERO ACTUALS'!L$142,EXPENSES!L$204*(1+$J$3))</f>
        <v>24880.6181746667</v>
      </c>
      <c r="M28" s="17" t="n">
        <f aca="false">IF(M$4&lt;=$B$3,'XERO ACTUALS'!M$142,EXPENSES!M$204*(1+$J$3))</f>
        <v>24880.6181746667</v>
      </c>
      <c r="N28" s="18" t="n">
        <f aca="false">SUM(B28:M28)</f>
        <v>311464.310873333</v>
      </c>
    </row>
    <row r="29" customFormat="false" ht="15" hidden="false" customHeight="false" outlineLevel="0" collapsed="false">
      <c r="A29" s="16" t="s">
        <v>62</v>
      </c>
      <c r="B29" s="17" t="n">
        <f aca="false">IF(B$4&lt;=$B$3,'XERO ACTUALS'!B$143,EXPENSES!B$205*(1+$J$3))</f>
        <v>101112.98</v>
      </c>
      <c r="C29" s="17" t="n">
        <f aca="false">IF(C$4&lt;=$B$3,'XERO ACTUALS'!C$143,EXPENSES!C$205*(1+$J$3))</f>
        <v>104346.54</v>
      </c>
      <c r="D29" s="17" t="n">
        <f aca="false">IF(D$4&lt;=$B$3,'XERO ACTUALS'!D$143,EXPENSES!D$205*(1+$J$3))</f>
        <v>113683.94</v>
      </c>
      <c r="E29" s="17" t="n">
        <f aca="false">IF(E$4&lt;=$B$3,'XERO ACTUALS'!E$143,EXPENSES!E$205*(1+$J$3))</f>
        <v>105145.29</v>
      </c>
      <c r="F29" s="17" t="n">
        <f aca="false">IF(F$4&lt;=$B$3,'XERO ACTUALS'!F$143,EXPENSES!F$205*(1+$J$3))</f>
        <v>102201.14</v>
      </c>
      <c r="G29" s="17" t="n">
        <f aca="false">IF(G$4&lt;=$B$3,'XERO ACTUALS'!G$143,EXPENSES!G$205*(1+$J$3))</f>
        <v>111565</v>
      </c>
      <c r="H29" s="17" t="n">
        <f aca="false">IF(H$4&lt;=$B$3,'XERO ACTUALS'!H$143,EXPENSES!H$205*(1+$J$3))</f>
        <v>97344.03</v>
      </c>
      <c r="I29" s="17" t="n">
        <f aca="false">IF(I$4&lt;=$B$3,'XERO ACTUALS'!I$143,EXPENSES!I$205*(1+$J$3))</f>
        <v>101984.670738288</v>
      </c>
      <c r="J29" s="17" t="n">
        <f aca="false">IF(J$4&lt;=$B$3,'XERO ACTUALS'!J$143,EXPENSES!J$205*(1+$J$3))</f>
        <v>101984.670738288</v>
      </c>
      <c r="K29" s="17" t="n">
        <f aca="false">IF(K$4&lt;=$B$3,'XERO ACTUALS'!K$143,EXPENSES!K$205*(1+$J$3))</f>
        <v>101984.670738288</v>
      </c>
      <c r="L29" s="17" t="n">
        <f aca="false">IF(L$4&lt;=$B$3,'XERO ACTUALS'!L$143,EXPENSES!L$205*(1+$J$3))</f>
        <v>101984.670738288</v>
      </c>
      <c r="M29" s="17" t="n">
        <f aca="false">IF(M$4&lt;=$B$3,'XERO ACTUALS'!M$143,EXPENSES!M$205*(1+$J$3))</f>
        <v>101984.670738288</v>
      </c>
      <c r="N29" s="18" t="n">
        <f aca="false">SUM(B29:M29)</f>
        <v>1245322.27369144</v>
      </c>
    </row>
    <row r="30" customFormat="false" ht="15" hidden="false" customHeight="false" outlineLevel="0" collapsed="false">
      <c r="A30" s="16" t="s">
        <v>63</v>
      </c>
      <c r="B30" s="17" t="n">
        <f aca="false">IF(B$4&lt;=$B$3,'XERO ACTUALS'!B$144,EXPENSES!B$206*(1+$J$3))</f>
        <v>15329.12</v>
      </c>
      <c r="C30" s="17" t="n">
        <f aca="false">IF(C$4&lt;=$B$3,'XERO ACTUALS'!C$144,EXPENSES!C$206*(1+$J$3))</f>
        <v>18543.25</v>
      </c>
      <c r="D30" s="17" t="n">
        <f aca="false">IF(D$4&lt;=$B$3,'XERO ACTUALS'!D$144,EXPENSES!D$206*(1+$J$3))</f>
        <v>14275.73</v>
      </c>
      <c r="E30" s="17" t="n">
        <f aca="false">IF(E$4&lt;=$B$3,'XERO ACTUALS'!E$144,EXPENSES!E$206*(1+$J$3))</f>
        <v>15372.76</v>
      </c>
      <c r="F30" s="17" t="n">
        <f aca="false">IF(F$4&lt;=$B$3,'XERO ACTUALS'!F$144,EXPENSES!F$206*(1+$J$3))</f>
        <v>15712.7</v>
      </c>
      <c r="G30" s="17" t="n">
        <f aca="false">IF(G$4&lt;=$B$3,'XERO ACTUALS'!G$144,EXPENSES!G$206*(1+$J$3))</f>
        <v>15725.04</v>
      </c>
      <c r="H30" s="17" t="n">
        <f aca="false">IF(H$4&lt;=$B$3,'XERO ACTUALS'!H$144,EXPENSES!H$206*(1+$J$3))</f>
        <v>15218.69</v>
      </c>
      <c r="I30" s="17" t="n">
        <f aca="false">IF(I$4&lt;=$B$3,'XERO ACTUALS'!I$144,EXPENSES!I$206*(1+$J$3))</f>
        <v>16555.1433333333</v>
      </c>
      <c r="J30" s="17" t="n">
        <f aca="false">IF(J$4&lt;=$B$3,'XERO ACTUALS'!J$144,EXPENSES!J$206*(1+$J$3))</f>
        <v>16555.1433333333</v>
      </c>
      <c r="K30" s="17" t="n">
        <f aca="false">IF(K$4&lt;=$B$3,'XERO ACTUALS'!K$144,EXPENSES!K$206*(1+$J$3))</f>
        <v>16555.1433333333</v>
      </c>
      <c r="L30" s="17" t="n">
        <f aca="false">IF(L$4&lt;=$B$3,'XERO ACTUALS'!L$144,EXPENSES!L$206*(1+$J$3))</f>
        <v>16555.1433333333</v>
      </c>
      <c r="M30" s="17" t="n">
        <f aca="false">IF(M$4&lt;=$B$3,'XERO ACTUALS'!M$144,EXPENSES!M$206*(1+$J$3))</f>
        <v>16555.1433333333</v>
      </c>
      <c r="N30" s="18" t="n">
        <f aca="false">SUM(B30:M30)</f>
        <v>192953.006666667</v>
      </c>
    </row>
    <row r="31" customFormat="false" ht="15" hidden="false" customHeight="false" outlineLevel="0" collapsed="false">
      <c r="A31" s="16" t="s">
        <v>64</v>
      </c>
      <c r="B31" s="17" t="n">
        <f aca="false">IF(B$4&lt;=$B$3,'XERO ACTUALS'!B$145,EXPENSES!B$207*(1+$J$3))</f>
        <v>1317.66</v>
      </c>
      <c r="C31" s="17" t="n">
        <f aca="false">IF(C$4&lt;=$B$3,'XERO ACTUALS'!C$145,EXPENSES!C$207*(1+$J$3))</f>
        <v>752.62</v>
      </c>
      <c r="D31" s="17" t="n">
        <f aca="false">IF(D$4&lt;=$B$3,'XERO ACTUALS'!D$145,EXPENSES!D$207*(1+$J$3))</f>
        <v>922.49</v>
      </c>
      <c r="E31" s="17" t="n">
        <f aca="false">IF(E$4&lt;=$B$3,'XERO ACTUALS'!E$145,EXPENSES!E$207*(1+$J$3))</f>
        <v>921.14</v>
      </c>
      <c r="F31" s="17" t="n">
        <f aca="false">IF(F$4&lt;=$B$3,'XERO ACTUALS'!F$145,EXPENSES!F$207*(1+$J$3))</f>
        <v>830.47</v>
      </c>
      <c r="G31" s="17" t="n">
        <f aca="false">IF(G$4&lt;=$B$3,'XERO ACTUALS'!G$145,EXPENSES!G$207*(1+$J$3))</f>
        <v>892.67</v>
      </c>
      <c r="H31" s="17" t="n">
        <f aca="false">IF(H$4&lt;=$B$3,'XERO ACTUALS'!H$145,EXPENSES!H$207*(1+$J$3))</f>
        <v>796.3</v>
      </c>
      <c r="I31" s="17" t="n">
        <f aca="false">IF(I$4&lt;=$B$3,'XERO ACTUALS'!I$145,EXPENSES!I$207*(1+$J$3))</f>
        <v>2086.66593920551</v>
      </c>
      <c r="J31" s="17" t="n">
        <f aca="false">IF(J$4&lt;=$B$3,'XERO ACTUALS'!J$145,EXPENSES!J$207*(1+$J$3))</f>
        <v>2086.66593920551</v>
      </c>
      <c r="K31" s="17" t="n">
        <f aca="false">IF(K$4&lt;=$B$3,'XERO ACTUALS'!K$145,EXPENSES!K$207*(1+$J$3))</f>
        <v>2086.66593920551</v>
      </c>
      <c r="L31" s="17" t="n">
        <f aca="false">IF(L$4&lt;=$B$3,'XERO ACTUALS'!L$145,EXPENSES!L$207*(1+$J$3))</f>
        <v>2086.66593920551</v>
      </c>
      <c r="M31" s="17" t="n">
        <f aca="false">IF(M$4&lt;=$B$3,'XERO ACTUALS'!M$145,EXPENSES!M$207*(1+$J$3))</f>
        <v>2086.66593920551</v>
      </c>
      <c r="N31" s="18" t="n">
        <f aca="false">SUM(B31:M31)</f>
        <v>16866.6796960276</v>
      </c>
    </row>
    <row r="32" customFormat="false" ht="15" hidden="false" customHeight="false" outlineLevel="0" collapsed="false">
      <c r="A32" s="16" t="s">
        <v>65</v>
      </c>
      <c r="B32" s="17" t="n">
        <f aca="false">IF(B$4&lt;=$B$3,'XERO ACTUALS'!B$146,EXPENSES!B$208*(1+$J$3))</f>
        <v>319</v>
      </c>
      <c r="C32" s="17" t="n">
        <f aca="false">IF(C$4&lt;=$B$3,'XERO ACTUALS'!C$146,EXPENSES!C$208*(1+$J$3))</f>
        <v>319</v>
      </c>
      <c r="D32" s="17" t="n">
        <f aca="false">IF(D$4&lt;=$B$3,'XERO ACTUALS'!D$146,EXPENSES!D$208*(1+$J$3))</f>
        <v>319</v>
      </c>
      <c r="E32" s="17" t="n">
        <f aca="false">IF(E$4&lt;=$B$3,'XERO ACTUALS'!E$146,EXPENSES!E$208*(1+$J$3))</f>
        <v>341.33</v>
      </c>
      <c r="F32" s="17" t="n">
        <f aca="false">IF(F$4&lt;=$B$3,'XERO ACTUALS'!F$146,EXPENSES!F$208*(1+$J$3))</f>
        <v>341.33</v>
      </c>
      <c r="G32" s="17" t="n">
        <f aca="false">IF(G$4&lt;=$B$3,'XERO ACTUALS'!G$146,EXPENSES!G$208*(1+$J$3))</f>
        <v>341.33</v>
      </c>
      <c r="H32" s="17" t="n">
        <f aca="false">IF(H$4&lt;=$B$3,'XERO ACTUALS'!H$146,EXPENSES!H$208*(1+$J$3))</f>
        <v>341.33</v>
      </c>
      <c r="I32" s="17" t="n">
        <f aca="false">IF(I$4&lt;=$B$3,'XERO ACTUALS'!I$146,EXPENSES!I$208*(1+$J$3))</f>
        <v>372.312122</v>
      </c>
      <c r="J32" s="17" t="n">
        <f aca="false">IF(J$4&lt;=$B$3,'XERO ACTUALS'!J$146,EXPENSES!J$208*(1+$J$3))</f>
        <v>372.312122</v>
      </c>
      <c r="K32" s="17" t="n">
        <f aca="false">IF(K$4&lt;=$B$3,'XERO ACTUALS'!K$146,EXPENSES!K$208*(1+$J$3))</f>
        <v>372.312122</v>
      </c>
      <c r="L32" s="17" t="n">
        <f aca="false">IF(L$4&lt;=$B$3,'XERO ACTUALS'!L$146,EXPENSES!L$208*(1+$J$3))</f>
        <v>372.312122</v>
      </c>
      <c r="M32" s="17" t="n">
        <f aca="false">IF(M$4&lt;=$B$3,'XERO ACTUALS'!M$146,EXPENSES!M$208*(1+$J$3))</f>
        <v>372.312122</v>
      </c>
      <c r="N32" s="18" t="n">
        <f aca="false">SUM(B32:M32)</f>
        <v>4183.88061</v>
      </c>
    </row>
    <row r="33" customFormat="false" ht="15" hidden="false" customHeight="false" outlineLevel="0" collapsed="false">
      <c r="A33" s="16" t="s">
        <v>66</v>
      </c>
      <c r="B33" s="17" t="n">
        <f aca="false">IF(B$4&lt;=$B$3,'XERO ACTUALS'!B$147,EXPENSES!B$209*(1+$J$3))</f>
        <v>1043</v>
      </c>
      <c r="C33" s="17" t="n">
        <f aca="false">IF(C$4&lt;=$B$3,'XERO ACTUALS'!C$147,EXPENSES!C$209*(1+$J$3))</f>
        <v>1043</v>
      </c>
      <c r="D33" s="17" t="n">
        <f aca="false">IF(D$4&lt;=$B$3,'XERO ACTUALS'!D$147,EXPENSES!D$209*(1+$J$3))</f>
        <v>1043</v>
      </c>
      <c r="E33" s="17" t="n">
        <f aca="false">IF(E$4&lt;=$B$3,'XERO ACTUALS'!E$147,EXPENSES!E$209*(1+$J$3))</f>
        <v>1043</v>
      </c>
      <c r="F33" s="17" t="n">
        <f aca="false">IF(F$4&lt;=$B$3,'XERO ACTUALS'!F$147,EXPENSES!F$209*(1+$J$3))</f>
        <v>1043</v>
      </c>
      <c r="G33" s="17" t="n">
        <f aca="false">IF(G$4&lt;=$B$3,'XERO ACTUALS'!G$147,EXPENSES!G$209*(1+$J$3))</f>
        <v>1043</v>
      </c>
      <c r="H33" s="17" t="n">
        <f aca="false">IF(H$4&lt;=$B$3,'XERO ACTUALS'!H$147,EXPENSES!H$209*(1+$J$3))</f>
        <v>1043</v>
      </c>
      <c r="I33" s="17" t="n">
        <f aca="false">IF(I$4&lt;=$B$3,'XERO ACTUALS'!I$147,EXPENSES!I$209*(1+$J$3))</f>
        <v>1043</v>
      </c>
      <c r="J33" s="17" t="n">
        <f aca="false">IF(J$4&lt;=$B$3,'XERO ACTUALS'!J$147,EXPENSES!J$209*(1+$J$3))</f>
        <v>1043</v>
      </c>
      <c r="K33" s="17" t="n">
        <f aca="false">IF(K$4&lt;=$B$3,'XERO ACTUALS'!K$147,EXPENSES!K$209*(1+$J$3))</f>
        <v>1043</v>
      </c>
      <c r="L33" s="17" t="n">
        <f aca="false">IF(L$4&lt;=$B$3,'XERO ACTUALS'!L$147,EXPENSES!L$209*(1+$J$3))</f>
        <v>1043</v>
      </c>
      <c r="M33" s="17" t="n">
        <f aca="false">IF(M$4&lt;=$B$3,'XERO ACTUALS'!M$147,EXPENSES!M$209*(1+$J$3))</f>
        <v>1043</v>
      </c>
      <c r="N33" s="18" t="n">
        <f aca="false">SUM(B33:M33)</f>
        <v>12516</v>
      </c>
    </row>
    <row r="34" customFormat="false" ht="15" hidden="false" customHeight="false" outlineLevel="0" collapsed="false">
      <c r="A34" s="16" t="s">
        <v>67</v>
      </c>
      <c r="B34" s="17" t="n">
        <f aca="false">IF(B$4&lt;=$B$3,'XERO ACTUALS'!B$148,EXPENSES!B$210*(1+$J$3))</f>
        <v>14365.42</v>
      </c>
      <c r="C34" s="17" t="n">
        <f aca="false">IF(C$4&lt;=$B$3,'XERO ACTUALS'!C$148,EXPENSES!C$210*(1+$J$3))</f>
        <v>10285.7</v>
      </c>
      <c r="D34" s="17" t="n">
        <f aca="false">IF(D$4&lt;=$B$3,'XERO ACTUALS'!D$148,EXPENSES!D$210*(1+$J$3))</f>
        <v>14282.72</v>
      </c>
      <c r="E34" s="17" t="n">
        <f aca="false">IF(E$4&lt;=$B$3,'XERO ACTUALS'!E$148,EXPENSES!E$210*(1+$J$3))</f>
        <v>16199.33</v>
      </c>
      <c r="F34" s="17" t="n">
        <f aca="false">IF(F$4&lt;=$B$3,'XERO ACTUALS'!F$148,EXPENSES!F$210*(1+$J$3))</f>
        <v>5398.56</v>
      </c>
      <c r="G34" s="17" t="n">
        <f aca="false">IF(G$4&lt;=$B$3,'XERO ACTUALS'!G$148,EXPENSES!G$210*(1+$J$3))</f>
        <v>8066.8</v>
      </c>
      <c r="H34" s="17" t="n">
        <f aca="false">IF(H$4&lt;=$B$3,'XERO ACTUALS'!H$148,EXPENSES!H$210*(1+$J$3))</f>
        <v>6304.26</v>
      </c>
      <c r="I34" s="17" t="n">
        <f aca="false">IF(I$4&lt;=$B$3,'XERO ACTUALS'!I$148,EXPENSES!I$210*(1+$J$3))</f>
        <v>5812.71804902382</v>
      </c>
      <c r="J34" s="17" t="n">
        <f aca="false">IF(J$4&lt;=$B$3,'XERO ACTUALS'!J$148,EXPENSES!J$210*(1+$J$3))</f>
        <v>5812.71804902382</v>
      </c>
      <c r="K34" s="17" t="n">
        <f aca="false">IF(K$4&lt;=$B$3,'XERO ACTUALS'!K$148,EXPENSES!K$210*(1+$J$3))</f>
        <v>5812.71804902382</v>
      </c>
      <c r="L34" s="17" t="n">
        <f aca="false">IF(L$4&lt;=$B$3,'XERO ACTUALS'!L$148,EXPENSES!L$210*(1+$J$3))</f>
        <v>5812.71804902382</v>
      </c>
      <c r="M34" s="17" t="n">
        <f aca="false">IF(M$4&lt;=$B$3,'XERO ACTUALS'!M$148,EXPENSES!M$210*(1+$J$3))</f>
        <v>5812.71804902382</v>
      </c>
      <c r="N34" s="18" t="n">
        <f aca="false">SUM(B34:M34)</f>
        <v>103966.380245119</v>
      </c>
    </row>
    <row r="35" customFormat="false" ht="15" hidden="false" customHeight="false" outlineLevel="0" collapsed="false">
      <c r="A35" s="16" t="s">
        <v>68</v>
      </c>
      <c r="B35" s="17" t="n">
        <f aca="false">IF(B$4&lt;=$B$3,'XERO ACTUALS'!B$149,EXPENSES!B$211*(1+$J$3))</f>
        <v>15328.39</v>
      </c>
      <c r="C35" s="17" t="n">
        <f aca="false">IF(C$4&lt;=$B$3,'XERO ACTUALS'!C$149,EXPENSES!C$211*(1+$J$3))</f>
        <v>14036.16</v>
      </c>
      <c r="D35" s="17" t="n">
        <f aca="false">IF(D$4&lt;=$B$3,'XERO ACTUALS'!D$149,EXPENSES!D$211*(1+$J$3))</f>
        <v>15051.56</v>
      </c>
      <c r="E35" s="17" t="n">
        <f aca="false">IF(E$4&lt;=$B$3,'XERO ACTUALS'!E$149,EXPENSES!E$211*(1+$J$3))</f>
        <v>16688.63</v>
      </c>
      <c r="F35" s="17" t="n">
        <f aca="false">IF(F$4&lt;=$B$3,'XERO ACTUALS'!F$149,EXPENSES!F$211*(1+$J$3))</f>
        <v>27807.18</v>
      </c>
      <c r="G35" s="17" t="n">
        <f aca="false">IF(G$4&lt;=$B$3,'XERO ACTUALS'!G$149,EXPENSES!G$211*(1+$J$3))</f>
        <v>14012.26</v>
      </c>
      <c r="H35" s="17" t="n">
        <f aca="false">IF(H$4&lt;=$B$3,'XERO ACTUALS'!H$149,EXPENSES!H$211*(1+$J$3))</f>
        <v>14283.72</v>
      </c>
      <c r="I35" s="17" t="n">
        <f aca="false">IF(I$4&lt;=$B$3,'XERO ACTUALS'!I$149,EXPENSES!I$211*(1+$J$3))</f>
        <v>16759.5612324485</v>
      </c>
      <c r="J35" s="17" t="n">
        <f aca="false">IF(J$4&lt;=$B$3,'XERO ACTUALS'!J$149,EXPENSES!J$211*(1+$J$3))</f>
        <v>16759.5612324485</v>
      </c>
      <c r="K35" s="17" t="n">
        <f aca="false">IF(K$4&lt;=$B$3,'XERO ACTUALS'!K$149,EXPENSES!K$211*(1+$J$3))</f>
        <v>16759.5612324485</v>
      </c>
      <c r="L35" s="17" t="n">
        <f aca="false">IF(L$4&lt;=$B$3,'XERO ACTUALS'!L$149,EXPENSES!L$211*(1+$J$3))</f>
        <v>16759.5612324485</v>
      </c>
      <c r="M35" s="17" t="n">
        <f aca="false">IF(M$4&lt;=$B$3,'XERO ACTUALS'!M$149,EXPENSES!M$211*(1+$J$3))</f>
        <v>16759.5612324485</v>
      </c>
      <c r="N35" s="18" t="n">
        <f aca="false">SUM(B35:M35)</f>
        <v>201005.706162242</v>
      </c>
    </row>
    <row r="36" customFormat="false" ht="15" hidden="false" customHeight="false" outlineLevel="0" collapsed="false">
      <c r="A36" s="16" t="s">
        <v>69</v>
      </c>
      <c r="B36" s="17" t="n">
        <f aca="false">IF(B$4&lt;=$B$3,'XERO ACTUALS'!B$150,EXPENSES!B$212*(1+$J$3))</f>
        <v>0</v>
      </c>
      <c r="C36" s="17" t="n">
        <f aca="false">IF(C$4&lt;=$B$3,'XERO ACTUALS'!C$150,EXPENSES!C$212*(1+$J$3))</f>
        <v>0</v>
      </c>
      <c r="D36" s="17" t="n">
        <f aca="false">IF(D$4&lt;=$B$3,'XERO ACTUALS'!D$150,EXPENSES!D$212*(1+$J$3))</f>
        <v>0</v>
      </c>
      <c r="E36" s="17" t="n">
        <f aca="false">IF(E$4&lt;=$B$3,'XERO ACTUALS'!E$150,EXPENSES!E$212*(1+$J$3))</f>
        <v>0</v>
      </c>
      <c r="F36" s="17" t="n">
        <f aca="false">IF(F$4&lt;=$B$3,'XERO ACTUALS'!F$150,EXPENSES!F$212*(1+$J$3))</f>
        <v>0</v>
      </c>
      <c r="G36" s="17" t="n">
        <f aca="false">IF(G$4&lt;=$B$3,'XERO ACTUALS'!G$150,EXPENSES!G$212*(1+$J$3))</f>
        <v>1407.43</v>
      </c>
      <c r="H36" s="17" t="n">
        <f aca="false">IF(H$4&lt;=$B$3,'XERO ACTUALS'!H$150,EXPENSES!H$212*(1+$J$3))</f>
        <v>56.37</v>
      </c>
      <c r="I36" s="17" t="n">
        <f aca="false">IF(I$4&lt;=$B$3,'XERO ACTUALS'!I$150,EXPENSES!I$212*(1+$J$3))</f>
        <v>884.346914</v>
      </c>
      <c r="J36" s="17" t="n">
        <f aca="false">IF(J$4&lt;=$B$3,'XERO ACTUALS'!J$150,EXPENSES!J$212*(1+$J$3))</f>
        <v>884.346914</v>
      </c>
      <c r="K36" s="17" t="n">
        <f aca="false">IF(K$4&lt;=$B$3,'XERO ACTUALS'!K$150,EXPENSES!K$212*(1+$J$3))</f>
        <v>884.346914</v>
      </c>
      <c r="L36" s="17" t="n">
        <f aca="false">IF(L$4&lt;=$B$3,'XERO ACTUALS'!L$150,EXPENSES!L$212*(1+$J$3))</f>
        <v>884.346914</v>
      </c>
      <c r="M36" s="17" t="n">
        <f aca="false">IF(M$4&lt;=$B$3,'XERO ACTUALS'!M$150,EXPENSES!M$212*(1+$J$3))</f>
        <v>884.346914</v>
      </c>
      <c r="N36" s="18" t="n">
        <f aca="false">SUM(B36:M36)</f>
        <v>5885.53457</v>
      </c>
    </row>
    <row r="37" customFormat="false" ht="15" hidden="false" customHeight="false" outlineLevel="0" collapsed="false">
      <c r="A37" s="16" t="s">
        <v>70</v>
      </c>
      <c r="B37" s="17" t="n">
        <f aca="false">IF(B$4&lt;=$B$3,'XERO ACTUALS'!B$151,EXPENSES!B$213*(1+$J$3))</f>
        <v>0</v>
      </c>
      <c r="C37" s="17" t="n">
        <f aca="false">IF(C$4&lt;=$B$3,'XERO ACTUALS'!C$151,EXPENSES!C$213*(1+$J$3))</f>
        <v>0</v>
      </c>
      <c r="D37" s="17" t="n">
        <f aca="false">IF(D$4&lt;=$B$3,'XERO ACTUALS'!D$151,EXPENSES!D$213*(1+$J$3))</f>
        <v>0</v>
      </c>
      <c r="E37" s="17" t="n">
        <f aca="false">IF(E$4&lt;=$B$3,'XERO ACTUALS'!E$151,EXPENSES!E$213*(1+$J$3))</f>
        <v>0</v>
      </c>
      <c r="F37" s="17" t="n">
        <f aca="false">IF(F$4&lt;=$B$3,'XERO ACTUALS'!F$151,EXPENSES!F$213*(1+$J$3))</f>
        <v>0</v>
      </c>
      <c r="G37" s="17" t="n">
        <f aca="false">IF(G$4&lt;=$B$3,'XERO ACTUALS'!G$151,EXPENSES!G$213*(1+$J$3))</f>
        <v>0</v>
      </c>
      <c r="H37" s="17" t="n">
        <f aca="false">IF(H$4&lt;=$B$3,'XERO ACTUALS'!H$151,EXPENSES!H$213*(1+$J$3))</f>
        <v>0</v>
      </c>
      <c r="I37" s="17" t="n">
        <f aca="false">IF(I$4&lt;=$B$3,'XERO ACTUALS'!I$151,EXPENSES!I$213*(1+$J$3))</f>
        <v>0</v>
      </c>
      <c r="J37" s="17" t="n">
        <f aca="false">IF(J$4&lt;=$B$3,'XERO ACTUALS'!J$151,EXPENSES!J$213*(1+$J$3))</f>
        <v>0</v>
      </c>
      <c r="K37" s="17" t="n">
        <f aca="false">IF(K$4&lt;=$B$3,'XERO ACTUALS'!K$151,EXPENSES!K$213*(1+$J$3))</f>
        <v>0</v>
      </c>
      <c r="L37" s="17" t="n">
        <f aca="false">IF(L$4&lt;=$B$3,'XERO ACTUALS'!L$151,EXPENSES!L$213*(1+$J$3))</f>
        <v>0</v>
      </c>
      <c r="M37" s="17" t="n">
        <f aca="false">IF(M$4&lt;=$B$3,'XERO ACTUALS'!M$151,EXPENSES!M$213*(1+$J$3))</f>
        <v>0</v>
      </c>
      <c r="N37" s="18" t="n">
        <f aca="false">SUM(B37:M37)</f>
        <v>0</v>
      </c>
    </row>
    <row r="38" customFormat="false" ht="15" hidden="false" customHeight="false" outlineLevel="0" collapsed="false">
      <c r="A38" s="16" t="s">
        <v>71</v>
      </c>
      <c r="B38" s="17" t="n">
        <f aca="false">IF(B$4&lt;=$B$3,'XERO ACTUALS'!B$152,EXPENSES!B$214*(1+$J$3))</f>
        <v>3409</v>
      </c>
      <c r="C38" s="17" t="n">
        <f aca="false">IF(C$4&lt;=$B$3,'XERO ACTUALS'!C$152,EXPENSES!C$214*(1+$J$3))</f>
        <v>3978.92</v>
      </c>
      <c r="D38" s="17" t="n">
        <f aca="false">IF(D$4&lt;=$B$3,'XERO ACTUALS'!D$152,EXPENSES!D$214*(1+$J$3))</f>
        <v>3910</v>
      </c>
      <c r="E38" s="17" t="n">
        <f aca="false">IF(E$4&lt;=$B$3,'XERO ACTUALS'!E$152,EXPENSES!E$214*(1+$J$3))</f>
        <v>4244</v>
      </c>
      <c r="F38" s="17" t="n">
        <f aca="false">IF(F$4&lt;=$B$3,'XERO ACTUALS'!F$152,EXPENSES!F$214*(1+$J$3))</f>
        <v>4173.75</v>
      </c>
      <c r="G38" s="17" t="n">
        <f aca="false">IF(G$4&lt;=$B$3,'XERO ACTUALS'!G$152,EXPENSES!G$214*(1+$J$3))</f>
        <v>4028.6</v>
      </c>
      <c r="H38" s="17" t="n">
        <f aca="false">IF(H$4&lt;=$B$3,'XERO ACTUALS'!H$152,EXPENSES!H$214*(1+$J$3))</f>
        <v>4126</v>
      </c>
      <c r="I38" s="17" t="n">
        <f aca="false">IF(I$4&lt;=$B$3,'XERO ACTUALS'!I$152,EXPENSES!I$214*(1+$J$3))</f>
        <v>2754.992</v>
      </c>
      <c r="J38" s="17" t="n">
        <f aca="false">IF(J$4&lt;=$B$3,'XERO ACTUALS'!J$152,EXPENSES!J$214*(1+$J$3))</f>
        <v>2754.992</v>
      </c>
      <c r="K38" s="17" t="n">
        <f aca="false">IF(K$4&lt;=$B$3,'XERO ACTUALS'!K$152,EXPENSES!K$214*(1+$J$3))</f>
        <v>2754.992</v>
      </c>
      <c r="L38" s="17" t="n">
        <f aca="false">IF(L$4&lt;=$B$3,'XERO ACTUALS'!L$152,EXPENSES!L$214*(1+$J$3))</f>
        <v>2754.992</v>
      </c>
      <c r="M38" s="17" t="n">
        <f aca="false">IF(M$4&lt;=$B$3,'XERO ACTUALS'!M$152,EXPENSES!M$214*(1+$J$3))</f>
        <v>2754.992</v>
      </c>
      <c r="N38" s="18" t="n">
        <f aca="false">SUM(B38:M38)</f>
        <v>41645.23</v>
      </c>
    </row>
    <row r="39" customFormat="false" ht="15" hidden="false" customHeight="false" outlineLevel="0" collapsed="false">
      <c r="A39" s="16" t="s">
        <v>72</v>
      </c>
      <c r="B39" s="17" t="n">
        <f aca="false">IF(B$4&lt;=$B$3,'XERO ACTUALS'!B$153,EXPENSES!B$215*(1+$J$3))</f>
        <v>20046.46</v>
      </c>
      <c r="C39" s="17" t="n">
        <f aca="false">IF(C$4&lt;=$B$3,'XERO ACTUALS'!C$153,EXPENSES!C$215*(1+$J$3))</f>
        <v>21603.25</v>
      </c>
      <c r="D39" s="17" t="n">
        <f aca="false">IF(D$4&lt;=$B$3,'XERO ACTUALS'!D$153,EXPENSES!D$215*(1+$J$3))</f>
        <v>49688.47</v>
      </c>
      <c r="E39" s="17" t="n">
        <f aca="false">IF(E$4&lt;=$B$3,'XERO ACTUALS'!E$153,EXPENSES!E$215*(1+$J$3))</f>
        <v>24996.78</v>
      </c>
      <c r="F39" s="17" t="n">
        <f aca="false">IF(F$4&lt;=$B$3,'XERO ACTUALS'!F$153,EXPENSES!F$215*(1+$J$3))</f>
        <v>19300.85</v>
      </c>
      <c r="G39" s="17" t="n">
        <f aca="false">IF(G$4&lt;=$B$3,'XERO ACTUALS'!G$153,EXPENSES!G$215*(1+$J$3))</f>
        <v>26848.19</v>
      </c>
      <c r="H39" s="17" t="n">
        <f aca="false">IF(H$4&lt;=$B$3,'XERO ACTUALS'!H$153,EXPENSES!H$215*(1+$J$3))</f>
        <v>26078.03</v>
      </c>
      <c r="I39" s="17" t="n">
        <f aca="false">IF(I$4&lt;=$B$3,'XERO ACTUALS'!I$153,EXPENSES!I$215*(1+$J$3))</f>
        <v>23294.0333690225</v>
      </c>
      <c r="J39" s="17" t="n">
        <f aca="false">IF(J$4&lt;=$B$3,'XERO ACTUALS'!J$153,EXPENSES!J$215*(1+$J$3))</f>
        <v>23294.0333690225</v>
      </c>
      <c r="K39" s="17" t="n">
        <f aca="false">IF(K$4&lt;=$B$3,'XERO ACTUALS'!K$153,EXPENSES!K$215*(1+$J$3))</f>
        <v>23294.0333690225</v>
      </c>
      <c r="L39" s="17" t="n">
        <f aca="false">IF(L$4&lt;=$B$3,'XERO ACTUALS'!L$153,EXPENSES!L$215*(1+$J$3))</f>
        <v>23294.0333690225</v>
      </c>
      <c r="M39" s="17" t="n">
        <f aca="false">IF(M$4&lt;=$B$3,'XERO ACTUALS'!M$153,EXPENSES!M$215*(1+$J$3))</f>
        <v>23294.0333690225</v>
      </c>
      <c r="N39" s="18" t="n">
        <f aca="false">SUM(B39:M39)</f>
        <v>305032.196845113</v>
      </c>
    </row>
    <row r="40" customFormat="false" ht="15" hidden="false" customHeight="false" outlineLevel="0" collapsed="false">
      <c r="A40" s="19" t="s">
        <v>73</v>
      </c>
      <c r="B40" s="20" t="n">
        <f aca="false">SUM(B28:B39)</f>
        <v>196151.93</v>
      </c>
      <c r="C40" s="20" t="n">
        <f aca="false">SUM(C28:C39)</f>
        <v>201103.34</v>
      </c>
      <c r="D40" s="20" t="n">
        <f aca="false">SUM(D28:D39)</f>
        <v>236879.81</v>
      </c>
      <c r="E40" s="20" t="n">
        <f aca="false">SUM(E28:E39)</f>
        <v>218087.88</v>
      </c>
      <c r="F40" s="20" t="n">
        <f aca="false">SUM(F28:F39)</f>
        <v>198749.05</v>
      </c>
      <c r="G40" s="20" t="n">
        <f aca="false">SUM(G28:G39)</f>
        <v>207845</v>
      </c>
      <c r="H40" s="20" t="n">
        <f aca="false">SUM(H28:H39)</f>
        <v>199883.88</v>
      </c>
      <c r="I40" s="20" t="n">
        <f aca="false">SUM(I28:I39)</f>
        <v>196428.061871988</v>
      </c>
      <c r="J40" s="20" t="n">
        <f aca="false">SUM(J28:J39)</f>
        <v>196428.061871988</v>
      </c>
      <c r="K40" s="20" t="n">
        <f aca="false">SUM(K28:K39)</f>
        <v>196428.061871988</v>
      </c>
      <c r="L40" s="20" t="n">
        <f aca="false">SUM(L28:L39)</f>
        <v>196428.061871988</v>
      </c>
      <c r="M40" s="20" t="n">
        <f aca="false">SUM(M28:M39)</f>
        <v>196428.061871988</v>
      </c>
      <c r="N40" s="20" t="n">
        <f aca="false">SUM(B40:M40)</f>
        <v>2440841.19935994</v>
      </c>
    </row>
    <row r="42" customFormat="false" ht="15" hidden="false" customHeight="false" outlineLevel="0" collapsed="false">
      <c r="A42" s="15" t="s">
        <v>74</v>
      </c>
    </row>
    <row r="43" customFormat="false" ht="15" hidden="false" customHeight="false" outlineLevel="0" collapsed="false">
      <c r="A43" s="22" t="s">
        <v>75</v>
      </c>
      <c r="B43" s="23" t="n">
        <f aca="false">B19-B23-B24-B40</f>
        <v>104604.97</v>
      </c>
      <c r="C43" s="23" t="n">
        <f aca="false">C19-C23-C24-C40</f>
        <v>690.950000000041</v>
      </c>
      <c r="D43" s="23" t="n">
        <f aca="false">D19-D23-D24-D40</f>
        <v>-126780.83</v>
      </c>
      <c r="E43" s="23" t="n">
        <f aca="false">E19-E23-E24-E40</f>
        <v>65476.7900000002</v>
      </c>
      <c r="F43" s="23" t="n">
        <f aca="false">F19-F23-F24-F40</f>
        <v>181972.23</v>
      </c>
      <c r="G43" s="23" t="n">
        <f aca="false">G19-G23-G24-G40</f>
        <v>165110.96</v>
      </c>
      <c r="H43" s="23" t="n">
        <f aca="false">H19-H23-H24-H40</f>
        <v>657075.48</v>
      </c>
      <c r="I43" s="23" t="n">
        <f aca="false">I19-I23-I24-I40</f>
        <v>100294.176928012</v>
      </c>
      <c r="J43" s="23" t="n">
        <f aca="false">J19-J23-J24-J40</f>
        <v>104238.176928012</v>
      </c>
      <c r="K43" s="23" t="n">
        <f aca="false">K19-K23-K24-K40</f>
        <v>112126.965728012</v>
      </c>
      <c r="L43" s="23" t="n">
        <f aca="false">L19-L23-L24-L40</f>
        <v>123958.965728012</v>
      </c>
      <c r="M43" s="23" t="n">
        <f aca="false">M19-M23-M24-M40</f>
        <v>138420.036128012</v>
      </c>
      <c r="N43" s="23" t="n">
        <f aca="false">SUM(B43:M43)</f>
        <v>1627188.87144006</v>
      </c>
    </row>
    <row r="44" customFormat="false" ht="15" hidden="false" customHeight="false" outlineLevel="0" collapsed="false">
      <c r="A44" s="22" t="s">
        <v>76</v>
      </c>
      <c r="B44" s="23" t="n">
        <f aca="false">B20-B23-B25-B40</f>
        <v>104604.97</v>
      </c>
      <c r="C44" s="23" t="n">
        <f aca="false">C20-C23-C25-C40</f>
        <v>690.950000000041</v>
      </c>
      <c r="D44" s="23" t="n">
        <f aca="false">D20-D23-D25-D40</f>
        <v>-126780.83</v>
      </c>
      <c r="E44" s="23" t="n">
        <f aca="false">E20-E23-E25-E40</f>
        <v>65476.7900000002</v>
      </c>
      <c r="F44" s="23" t="n">
        <f aca="false">F20-F23-F25-F40</f>
        <v>181972.23</v>
      </c>
      <c r="G44" s="23" t="n">
        <f aca="false">G20-G23-G25-G40</f>
        <v>165110.96</v>
      </c>
      <c r="H44" s="23" t="n">
        <f aca="false">H20-H23-H25-H40</f>
        <v>657075.48</v>
      </c>
      <c r="I44" s="23" t="n">
        <f aca="false">I20-I23-I25-I40</f>
        <v>205238.774128012</v>
      </c>
      <c r="J44" s="23" t="n">
        <f aca="false">J20-J23-J25-J40</f>
        <v>210168.774128012</v>
      </c>
      <c r="K44" s="23" t="n">
        <f aca="false">K20-K23-K25-K40</f>
        <v>220029.760128012</v>
      </c>
      <c r="L44" s="23" t="n">
        <f aca="false">L20-L23-L25-L40</f>
        <v>234819.760128012</v>
      </c>
      <c r="M44" s="23" t="n">
        <f aca="false">M20-M23-M25-M40</f>
        <v>252896.098128012</v>
      </c>
      <c r="N44" s="23" t="n">
        <f aca="false">SUM(B44:M44)</f>
        <v>2171303.71664006</v>
      </c>
    </row>
    <row r="45" customFormat="false" ht="15" hidden="false" customHeight="false" outlineLevel="0" collapsed="false">
      <c r="A45" s="16" t="s">
        <v>77</v>
      </c>
      <c r="B45" s="21" t="n">
        <f aca="false">IFERROR(B43/B12,0)</f>
        <v>0.0894417775501766</v>
      </c>
      <c r="C45" s="21" t="n">
        <f aca="false">IFERROR(C43/C12,0)</f>
        <v>0.000717298601249603</v>
      </c>
      <c r="D45" s="21" t="n">
        <f aca="false">IFERROR(D43/D12,0)</f>
        <v>-0.15404113544511</v>
      </c>
      <c r="E45" s="21" t="n">
        <f aca="false">IFERROR(E43/E12,0)</f>
        <v>0.0516478609042614</v>
      </c>
      <c r="F45" s="21" t="n">
        <f aca="false">IFERROR(F43/F12,0)</f>
        <v>0.131981336006532</v>
      </c>
      <c r="G45" s="21" t="n">
        <f aca="false">IFERROR(G43/G12,0)</f>
        <v>0.147367042605295</v>
      </c>
      <c r="H45" s="21" t="n">
        <f aca="false">IFERROR(H43/H12,0)</f>
        <v>0.477877027972224</v>
      </c>
      <c r="I45" s="21" t="n">
        <f aca="false">IFERROR(I43/I12,0)</f>
        <v>0.0852695464179033</v>
      </c>
      <c r="J45" s="21" t="n">
        <f aca="false">IFERROR(J43/J12,0)</f>
        <v>0.0880240129113254</v>
      </c>
      <c r="K45" s="21" t="n">
        <f aca="false">IFERROR(K43/K12,0)</f>
        <v>0.0934233184247569</v>
      </c>
      <c r="L45" s="21" t="n">
        <f aca="false">IFERROR(L43/L12,0)</f>
        <v>0.101256854848943</v>
      </c>
      <c r="M45" s="21" t="n">
        <f aca="false">IFERROR(M43/M12,0)</f>
        <v>0.110423662446082</v>
      </c>
      <c r="N45" s="21" t="n">
        <f aca="false">IFERROR(N43/N12,0)</f>
        <v>0.115108773394776</v>
      </c>
    </row>
    <row r="46" customFormat="false" ht="15" hidden="false" customHeight="false" outlineLevel="0" collapsed="false">
      <c r="A46" s="16" t="s">
        <v>78</v>
      </c>
      <c r="B46" s="21" t="n">
        <f aca="false">IFERROR(B44/B13,0)</f>
        <v>0.0894417775501766</v>
      </c>
      <c r="C46" s="21" t="n">
        <f aca="false">IFERROR(C44/C13,0)</f>
        <v>0.000717298601249603</v>
      </c>
      <c r="D46" s="21" t="n">
        <f aca="false">IFERROR(D44/D13,0)</f>
        <v>-0.15404113544511</v>
      </c>
      <c r="E46" s="21" t="n">
        <f aca="false">IFERROR(E44/E13,0)</f>
        <v>0.0516478609042614</v>
      </c>
      <c r="F46" s="21" t="n">
        <f aca="false">IFERROR(F44/F13,0)</f>
        <v>0.131981336006532</v>
      </c>
      <c r="G46" s="21" t="n">
        <f aca="false">IFERROR(G44/G13,0)</f>
        <v>0.147367042605295</v>
      </c>
      <c r="H46" s="21" t="n">
        <f aca="false">IFERROR(H44/H13,0)</f>
        <v>0.477877027972224</v>
      </c>
      <c r="I46" s="21" t="n">
        <f aca="false">IFERROR(I44/I13,0)</f>
        <v>0.147972947499724</v>
      </c>
      <c r="J46" s="21" t="n">
        <f aca="false">IFERROR(J44/J13,0)</f>
        <v>0.150442715277439</v>
      </c>
      <c r="K46" s="21" t="n">
        <f aca="false">IFERROR(K44/K13,0)</f>
        <v>0.155278150328448</v>
      </c>
      <c r="L46" s="21" t="n">
        <f aca="false">IFERROR(L44/L13,0)</f>
        <v>0.162279966142465</v>
      </c>
      <c r="M46" s="21" t="n">
        <f aca="false">IFERROR(M44/M13,0)</f>
        <v>0.170453064446954</v>
      </c>
      <c r="N46" s="21" t="n">
        <f aca="false">IFERROR(N44/N13,0)</f>
        <v>0.142572842607274</v>
      </c>
    </row>
    <row r="47" customFormat="false" ht="15" hidden="false" customHeight="false" outlineLevel="0" collapsed="false">
      <c r="A47" s="16" t="s">
        <v>79</v>
      </c>
      <c r="B47" s="17" t="n">
        <f aca="false">IFERROR((B23+B40-B11)/(1-B16),0)</f>
        <v>827569.406401273</v>
      </c>
      <c r="C47" s="17" t="n">
        <f aca="false">IFERROR((C23+C40-C11)/(1-C16),0)</f>
        <v>961343.369856814</v>
      </c>
      <c r="D47" s="17" t="n">
        <f aca="false">IFERROR((D23+D40-D11)/(1-D16),0)</f>
        <v>1043876.16507109</v>
      </c>
      <c r="E47" s="17" t="n">
        <f aca="false">IFERROR((E23+E40-E11)/(1-E16),0)</f>
        <v>1136646.57414564</v>
      </c>
      <c r="F47" s="17" t="n">
        <f aca="false">IFERROR((F23+F40-F11)/(1-F16),0)</f>
        <v>1007894.17024042</v>
      </c>
      <c r="G47" s="17" t="n">
        <f aca="false">IFERROR((G23+G40-G11)/(1-G16),0)</f>
        <v>810369.684260523</v>
      </c>
      <c r="H47" s="17" t="n">
        <f aca="false">IFERROR((H23+H40-H11)/(1-H16),0)</f>
        <v>571652.739760951</v>
      </c>
      <c r="I47" s="17" t="n">
        <f aca="false">IFERROR((I23+I40-I11)/(1-I16),0)</f>
        <v>915132.121840354</v>
      </c>
      <c r="J47" s="17" t="n">
        <f aca="false">IFERROR((J23+J40-J11)/(1-J16),0)</f>
        <v>915132.121840354</v>
      </c>
      <c r="K47" s="17" t="n">
        <f aca="false">IFERROR((K23+K40-K11)/(1-K16),0)</f>
        <v>915132.121840354</v>
      </c>
      <c r="L47" s="17" t="n">
        <f aca="false">IFERROR((L23+L40-L11)/(1-L16),0)</f>
        <v>915132.121840354</v>
      </c>
      <c r="M47" s="17" t="n">
        <f aca="false">IFERROR((M23+M40-M11)/(1-M16),0)</f>
        <v>915132.121840354</v>
      </c>
    </row>
    <row r="48" customFormat="false" ht="15" hidden="false" customHeight="false" outlineLevel="0" collapsed="false">
      <c r="A48" s="16" t="s">
        <v>80</v>
      </c>
      <c r="B48" s="17" t="n">
        <f aca="false">SUM($B$43:B43)</f>
        <v>104604.97</v>
      </c>
      <c r="C48" s="17" t="n">
        <f aca="false">SUM($B$43:C43)</f>
        <v>105295.92</v>
      </c>
      <c r="D48" s="17" t="n">
        <f aca="false">SUM($B$43:D43)</f>
        <v>-21484.9100000001</v>
      </c>
      <c r="E48" s="17" t="n">
        <f aca="false">SUM($B$43:E43)</f>
        <v>43991.88</v>
      </c>
      <c r="F48" s="17" t="n">
        <f aca="false">SUM($B$43:F43)</f>
        <v>225964.11</v>
      </c>
      <c r="G48" s="17" t="n">
        <f aca="false">SUM($B$43:G43)</f>
        <v>391075.07</v>
      </c>
      <c r="H48" s="17" t="n">
        <f aca="false">SUM($B$43:H43)</f>
        <v>1048150.55</v>
      </c>
      <c r="I48" s="17" t="n">
        <f aca="false">SUM($B$43:I43)</f>
        <v>1148444.72692801</v>
      </c>
      <c r="J48" s="17" t="n">
        <f aca="false">SUM($B$43:J43)</f>
        <v>1252682.90385602</v>
      </c>
      <c r="K48" s="17" t="n">
        <f aca="false">SUM($B$43:K43)</f>
        <v>1364809.86958404</v>
      </c>
      <c r="L48" s="17" t="n">
        <f aca="false">SUM($B$43:L43)</f>
        <v>1488768.83531205</v>
      </c>
      <c r="M48" s="17" t="n">
        <f aca="false">SUM($B$43:M43)</f>
        <v>1627188.87144006</v>
      </c>
    </row>
    <row r="49" customFormat="false" ht="15" hidden="false" customHeight="false" outlineLevel="0" collapsed="false">
      <c r="A49" s="16" t="s">
        <v>81</v>
      </c>
      <c r="B49" s="17" t="n">
        <f aca="false">SUM($B$44:B44)</f>
        <v>104604.97</v>
      </c>
      <c r="C49" s="17" t="n">
        <f aca="false">SUM($B$44:C44)</f>
        <v>105295.92</v>
      </c>
      <c r="D49" s="17" t="n">
        <f aca="false">SUM($B$44:D44)</f>
        <v>-21484.9100000001</v>
      </c>
      <c r="E49" s="17" t="n">
        <f aca="false">SUM($B$44:E44)</f>
        <v>43991.88</v>
      </c>
      <c r="F49" s="17" t="n">
        <f aca="false">SUM($B$44:F44)</f>
        <v>225964.11</v>
      </c>
      <c r="G49" s="17" t="n">
        <f aca="false">SUM($B$44:G44)</f>
        <v>391075.07</v>
      </c>
      <c r="H49" s="17" t="n">
        <f aca="false">SUM($B$44:H44)</f>
        <v>1048150.55</v>
      </c>
      <c r="I49" s="17" t="n">
        <f aca="false">SUM($B$44:I44)</f>
        <v>1253389.32412801</v>
      </c>
      <c r="J49" s="17" t="n">
        <f aca="false">SUM($B$44:J44)</f>
        <v>1463558.09825602</v>
      </c>
      <c r="K49" s="17" t="n">
        <f aca="false">SUM($B$44:K44)</f>
        <v>1683587.85838404</v>
      </c>
      <c r="L49" s="17" t="n">
        <f aca="false">SUM($B$44:L44)</f>
        <v>1918407.61851205</v>
      </c>
      <c r="M49" s="17" t="n">
        <f aca="false">SUM($B$44:M44)</f>
        <v>2171303.71664006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8" min="3" style="0" width="12"/>
    <col collapsed="false" customWidth="true" hidden="false" outlineLevel="0" max="36" min="9" style="0" width="10"/>
  </cols>
  <sheetData>
    <row r="1" customFormat="false" ht="17.35" hidden="false" customHeight="false" outlineLevel="0" collapsed="false">
      <c r="A1" s="6" t="s">
        <v>82</v>
      </c>
    </row>
    <row r="2" customFormat="false" ht="15" hidden="false" customHeight="false" outlineLevel="0" collapsed="false">
      <c r="A2" s="7" t="s">
        <v>83</v>
      </c>
    </row>
    <row r="3" customFormat="false" ht="15" hidden="false" customHeight="false" outlineLevel="0" collapsed="false">
      <c r="A3" s="8" t="s">
        <v>84</v>
      </c>
      <c r="B3" s="11" t="n">
        <v>12050000</v>
      </c>
      <c r="D3" s="8" t="s">
        <v>85</v>
      </c>
      <c r="E3" s="24" t="n">
        <v>0.015</v>
      </c>
      <c r="G3" s="8" t="s">
        <v>86</v>
      </c>
      <c r="H3" s="24" t="n">
        <v>0.035</v>
      </c>
      <c r="J3" s="8" t="s">
        <v>87</v>
      </c>
      <c r="K3" s="17" t="n">
        <f aca="false">$B$3/12</f>
        <v>1004166.66666667</v>
      </c>
    </row>
    <row r="4" customFormat="false" ht="15" hidden="false" customHeight="false" outlineLevel="0" collapsed="false">
      <c r="I4" s="12" t="n">
        <v>1</v>
      </c>
      <c r="J4" s="12" t="n">
        <v>2</v>
      </c>
      <c r="K4" s="12" t="n">
        <v>3</v>
      </c>
      <c r="L4" s="12" t="n">
        <v>4</v>
      </c>
      <c r="M4" s="12" t="n">
        <v>5</v>
      </c>
      <c r="N4" s="12" t="n">
        <v>6</v>
      </c>
      <c r="O4" s="12" t="n">
        <v>7</v>
      </c>
      <c r="P4" s="12" t="n">
        <v>8</v>
      </c>
      <c r="Q4" s="12" t="n">
        <v>9</v>
      </c>
      <c r="R4" s="12" t="n">
        <v>10</v>
      </c>
      <c r="S4" s="12" t="n">
        <v>11</v>
      </c>
      <c r="T4" s="12" t="n">
        <v>12</v>
      </c>
      <c r="U4" s="12" t="n">
        <v>1</v>
      </c>
      <c r="V4" s="12" t="n">
        <v>2</v>
      </c>
      <c r="W4" s="12" t="n">
        <v>3</v>
      </c>
      <c r="X4" s="12" t="n">
        <v>4</v>
      </c>
      <c r="Y4" s="12" t="n">
        <v>5</v>
      </c>
      <c r="Z4" s="12" t="n">
        <v>6</v>
      </c>
      <c r="AA4" s="12" t="n">
        <v>7</v>
      </c>
      <c r="AB4" s="12" t="n">
        <v>8</v>
      </c>
      <c r="AC4" s="12" t="n">
        <v>9</v>
      </c>
      <c r="AD4" s="12" t="n">
        <v>10</v>
      </c>
      <c r="AE4" s="12" t="n">
        <v>11</v>
      </c>
      <c r="AF4" s="12" t="n">
        <v>12</v>
      </c>
    </row>
    <row r="5" customFormat="false" ht="15" hidden="false" customHeight="false" outlineLevel="0" collapsed="false">
      <c r="A5" s="13" t="s">
        <v>88</v>
      </c>
      <c r="B5" s="13" t="s">
        <v>89</v>
      </c>
      <c r="C5" s="13" t="s">
        <v>90</v>
      </c>
      <c r="D5" s="13" t="s">
        <v>91</v>
      </c>
      <c r="E5" s="13" t="s">
        <v>92</v>
      </c>
      <c r="F5" s="13" t="s">
        <v>93</v>
      </c>
      <c r="G5" s="13" t="s">
        <v>94</v>
      </c>
      <c r="H5" s="13" t="s">
        <v>95</v>
      </c>
      <c r="I5" s="13" t="s">
        <v>96</v>
      </c>
      <c r="J5" s="13" t="s">
        <v>97</v>
      </c>
      <c r="K5" s="13" t="s">
        <v>98</v>
      </c>
      <c r="L5" s="13" t="s">
        <v>99</v>
      </c>
      <c r="M5" s="13" t="s">
        <v>100</v>
      </c>
      <c r="N5" s="13" t="s">
        <v>101</v>
      </c>
      <c r="O5" s="13" t="s">
        <v>102</v>
      </c>
      <c r="P5" s="13" t="s">
        <v>103</v>
      </c>
      <c r="Q5" s="13" t="s">
        <v>104</v>
      </c>
      <c r="R5" s="13" t="s">
        <v>105</v>
      </c>
      <c r="S5" s="13" t="s">
        <v>106</v>
      </c>
      <c r="T5" s="13" t="s">
        <v>107</v>
      </c>
      <c r="U5" s="13" t="s">
        <v>108</v>
      </c>
      <c r="V5" s="13" t="s">
        <v>109</v>
      </c>
      <c r="W5" s="13" t="s">
        <v>110</v>
      </c>
      <c r="X5" s="13" t="s">
        <v>111</v>
      </c>
      <c r="Y5" s="13" t="s">
        <v>112</v>
      </c>
      <c r="Z5" s="13" t="s">
        <v>113</v>
      </c>
      <c r="AA5" s="13" t="s">
        <v>114</v>
      </c>
      <c r="AB5" s="13" t="s">
        <v>115</v>
      </c>
      <c r="AC5" s="13" t="s">
        <v>116</v>
      </c>
      <c r="AD5" s="13" t="s">
        <v>117</v>
      </c>
      <c r="AE5" s="13" t="s">
        <v>118</v>
      </c>
      <c r="AF5" s="13" t="s">
        <v>119</v>
      </c>
      <c r="AG5" s="13" t="s">
        <v>120</v>
      </c>
      <c r="AH5" s="13" t="s">
        <v>121</v>
      </c>
      <c r="AI5" s="13" t="s">
        <v>122</v>
      </c>
      <c r="AJ5" s="13" t="s">
        <v>123</v>
      </c>
    </row>
    <row r="6" customFormat="false" ht="15" hidden="false" customHeight="false" outlineLevel="0" collapsed="false">
      <c r="A6" s="25" t="s">
        <v>124</v>
      </c>
      <c r="B6" s="25" t="s">
        <v>124</v>
      </c>
      <c r="C6" s="25" t="s">
        <v>125</v>
      </c>
      <c r="D6" s="26" t="n">
        <v>-8</v>
      </c>
      <c r="E6" s="27" t="n">
        <v>1</v>
      </c>
      <c r="F6" s="27" t="n">
        <v>1</v>
      </c>
      <c r="G6" s="28" t="n">
        <v>0.0175</v>
      </c>
      <c r="H6" s="17" t="n">
        <f aca="false">IF($C6="",0,12*INDEX('RAMP SCHEDULES'!$B$4:$M$13,MATCH($C6,'RAMP SCHEDULES'!$A$4:$A$13,0),12))</f>
        <v>3960000</v>
      </c>
      <c r="I6" s="17" t="n">
        <f aca="false">IF(OR($C6="",I$4&lt;$D6),0,INDEX('RAMP SCHEDULES'!$B$4:$M$13,MATCH($C6,'RAMP SCHEDULES'!$A$4:$A$13,0),MIN(12,I$4-$D6+1))*$E6)</f>
        <v>330000</v>
      </c>
      <c r="J6" s="17" t="n">
        <f aca="false">IF(OR($C6="",J$4&lt;$D6),0,INDEX('RAMP SCHEDULES'!$B$4:$M$13,MATCH($C6,'RAMP SCHEDULES'!$A$4:$A$13,0),MIN(12,J$4-$D6+1))*$E6)</f>
        <v>330000</v>
      </c>
      <c r="K6" s="17" t="n">
        <f aca="false">IF(OR($C6="",K$4&lt;$D6),0,INDEX('RAMP SCHEDULES'!$B$4:$M$13,MATCH($C6,'RAMP SCHEDULES'!$A$4:$A$13,0),MIN(12,K$4-$D6+1))*$E6)</f>
        <v>330000</v>
      </c>
      <c r="L6" s="17" t="n">
        <f aca="false">IF(OR($C6="",L$4&lt;$D6),0,INDEX('RAMP SCHEDULES'!$B$4:$M$13,MATCH($C6,'RAMP SCHEDULES'!$A$4:$A$13,0),MIN(12,L$4-$D6+1))*$E6)</f>
        <v>330000</v>
      </c>
      <c r="M6" s="17" t="n">
        <f aca="false">IF(OR($C6="",M$4&lt;$D6),0,INDEX('RAMP SCHEDULES'!$B$4:$M$13,MATCH($C6,'RAMP SCHEDULES'!$A$4:$A$13,0),MIN(12,M$4-$D6+1))*$E6)</f>
        <v>330000</v>
      </c>
      <c r="N6" s="17" t="n">
        <f aca="false">IF(OR($C6="",N$4&lt;$D6),0,INDEX('RAMP SCHEDULES'!$B$4:$M$13,MATCH($C6,'RAMP SCHEDULES'!$A$4:$A$13,0),MIN(12,N$4-$D6+1))*$E6)</f>
        <v>330000</v>
      </c>
      <c r="O6" s="17" t="n">
        <f aca="false">IF(OR($C6="",O$4&lt;$D6),0,INDEX('RAMP SCHEDULES'!$B$4:$M$13,MATCH($C6,'RAMP SCHEDULES'!$A$4:$A$13,0),MIN(12,O$4-$D6+1))*$E6)</f>
        <v>330000</v>
      </c>
      <c r="P6" s="17" t="n">
        <f aca="false">IF(OR($C6="",P$4&lt;$D6),0,INDEX('RAMP SCHEDULES'!$B$4:$M$13,MATCH($C6,'RAMP SCHEDULES'!$A$4:$A$13,0),MIN(12,P$4-$D6+1))*$E6)</f>
        <v>330000</v>
      </c>
      <c r="Q6" s="17" t="n">
        <f aca="false">IF(OR($C6="",Q$4&lt;$D6),0,INDEX('RAMP SCHEDULES'!$B$4:$M$13,MATCH($C6,'RAMP SCHEDULES'!$A$4:$A$13,0),MIN(12,Q$4-$D6+1))*$E6)</f>
        <v>330000</v>
      </c>
      <c r="R6" s="17" t="n">
        <f aca="false">IF(OR($C6="",R$4&lt;$D6),0,INDEX('RAMP SCHEDULES'!$B$4:$M$13,MATCH($C6,'RAMP SCHEDULES'!$A$4:$A$13,0),MIN(12,R$4-$D6+1))*$E6)</f>
        <v>330000</v>
      </c>
      <c r="S6" s="17" t="n">
        <f aca="false">IF(OR($C6="",S$4&lt;$D6),0,INDEX('RAMP SCHEDULES'!$B$4:$M$13,MATCH($C6,'RAMP SCHEDULES'!$A$4:$A$13,0),MIN(12,S$4-$D6+1))*$E6)</f>
        <v>330000</v>
      </c>
      <c r="T6" s="17" t="n">
        <f aca="false">IF(OR($C6="",T$4&lt;$D6),0,INDEX('RAMP SCHEDULES'!$B$4:$M$13,MATCH($C6,'RAMP SCHEDULES'!$A$4:$A$13,0),MIN(12,T$4-$D6+1))*$E6)</f>
        <v>330000</v>
      </c>
      <c r="U6" s="17" t="n">
        <f aca="false">IF(OR($C6="",U$4&lt;$D6),0,INDEX('RAMP SCHEDULES'!$B$4:$M$13,MATCH($C6,'RAMP SCHEDULES'!$A$4:$A$13,0),MIN(12,U$4-$D6+1))*$F6)</f>
        <v>330000</v>
      </c>
      <c r="V6" s="17" t="n">
        <f aca="false">IF(OR($C6="",V$4&lt;$D6),0,INDEX('RAMP SCHEDULES'!$B$4:$M$13,MATCH($C6,'RAMP SCHEDULES'!$A$4:$A$13,0),MIN(12,V$4-$D6+1))*$F6)</f>
        <v>330000</v>
      </c>
      <c r="W6" s="17" t="n">
        <f aca="false">IF(OR($C6="",W$4&lt;$D6),0,INDEX('RAMP SCHEDULES'!$B$4:$M$13,MATCH($C6,'RAMP SCHEDULES'!$A$4:$A$13,0),MIN(12,W$4-$D6+1))*$F6)</f>
        <v>330000</v>
      </c>
      <c r="X6" s="17" t="n">
        <f aca="false">IF(OR($C6="",X$4&lt;$D6),0,INDEX('RAMP SCHEDULES'!$B$4:$M$13,MATCH($C6,'RAMP SCHEDULES'!$A$4:$A$13,0),MIN(12,X$4-$D6+1))*$F6)</f>
        <v>330000</v>
      </c>
      <c r="Y6" s="17" t="n">
        <f aca="false">IF(OR($C6="",Y$4&lt;$D6),0,INDEX('RAMP SCHEDULES'!$B$4:$M$13,MATCH($C6,'RAMP SCHEDULES'!$A$4:$A$13,0),MIN(12,Y$4-$D6+1))*$F6)</f>
        <v>330000</v>
      </c>
      <c r="Z6" s="17" t="n">
        <f aca="false">IF(OR($C6="",Z$4&lt;$D6),0,INDEX('RAMP SCHEDULES'!$B$4:$M$13,MATCH($C6,'RAMP SCHEDULES'!$A$4:$A$13,0),MIN(12,Z$4-$D6+1))*$F6)</f>
        <v>330000</v>
      </c>
      <c r="AA6" s="17" t="n">
        <f aca="false">IF(OR($C6="",AA$4&lt;$D6),0,INDEX('RAMP SCHEDULES'!$B$4:$M$13,MATCH($C6,'RAMP SCHEDULES'!$A$4:$A$13,0),MIN(12,AA$4-$D6+1))*$F6)</f>
        <v>330000</v>
      </c>
      <c r="AB6" s="17" t="n">
        <f aca="false">IF(OR($C6="",AB$4&lt;$D6),0,INDEX('RAMP SCHEDULES'!$B$4:$M$13,MATCH($C6,'RAMP SCHEDULES'!$A$4:$A$13,0),MIN(12,AB$4-$D6+1))*$F6)</f>
        <v>330000</v>
      </c>
      <c r="AC6" s="17" t="n">
        <f aca="false">IF(OR($C6="",AC$4&lt;$D6),0,INDEX('RAMP SCHEDULES'!$B$4:$M$13,MATCH($C6,'RAMP SCHEDULES'!$A$4:$A$13,0),MIN(12,AC$4-$D6+1))*$F6)</f>
        <v>330000</v>
      </c>
      <c r="AD6" s="17" t="n">
        <f aca="false">IF(OR($C6="",AD$4&lt;$D6),0,INDEX('RAMP SCHEDULES'!$B$4:$M$13,MATCH($C6,'RAMP SCHEDULES'!$A$4:$A$13,0),MIN(12,AD$4-$D6+1))*$F6)</f>
        <v>330000</v>
      </c>
      <c r="AE6" s="17" t="n">
        <f aca="false">IF(OR($C6="",AE$4&lt;$D6),0,INDEX('RAMP SCHEDULES'!$B$4:$M$13,MATCH($C6,'RAMP SCHEDULES'!$A$4:$A$13,0),MIN(12,AE$4-$D6+1))*$F6)</f>
        <v>330000</v>
      </c>
      <c r="AF6" s="17" t="n">
        <f aca="false">IF(OR($C6="",AF$4&lt;$D6),0,INDEX('RAMP SCHEDULES'!$B$4:$M$13,MATCH($C6,'RAMP SCHEDULES'!$A$4:$A$13,0),MIN(12,AF$4-$D6+1))*$F6)</f>
        <v>330000</v>
      </c>
      <c r="AG6" s="18" t="n">
        <f aca="false">SUM(I6:T6)</f>
        <v>3960000</v>
      </c>
      <c r="AH6" s="18" t="n">
        <f aca="false">SUM(U6:AF6)</f>
        <v>3960000</v>
      </c>
      <c r="AI6" s="17" t="n">
        <f aca="false">AG6*$G6</f>
        <v>69300</v>
      </c>
      <c r="AJ6" s="17" t="n">
        <f aca="false">AH6*$G6</f>
        <v>69300</v>
      </c>
    </row>
    <row r="7" customFormat="false" ht="15" hidden="false" customHeight="false" outlineLevel="0" collapsed="false">
      <c r="A7" s="25" t="s">
        <v>126</v>
      </c>
      <c r="B7" s="25" t="s">
        <v>127</v>
      </c>
      <c r="C7" s="25" t="s">
        <v>128</v>
      </c>
      <c r="D7" s="26" t="n">
        <v>-8</v>
      </c>
      <c r="E7" s="27" t="n">
        <v>0.8</v>
      </c>
      <c r="F7" s="27" t="n">
        <v>1</v>
      </c>
      <c r="G7" s="28" t="n">
        <v>0.025</v>
      </c>
      <c r="H7" s="17" t="n">
        <f aca="false">IF($C7="",0,12*INDEX('RAMP SCHEDULES'!$B$4:$M$13,MATCH($C7,'RAMP SCHEDULES'!$A$4:$A$13,0),12))</f>
        <v>1000008</v>
      </c>
      <c r="I7" s="17" t="n">
        <f aca="false">IF(OR($C7="",I$4&lt;$D7),0,INDEX('RAMP SCHEDULES'!$B$4:$M$13,MATCH($C7,'RAMP SCHEDULES'!$A$4:$A$13,0),MIN(12,I$4-$D7+1))*$E7)</f>
        <v>66666.4</v>
      </c>
      <c r="J7" s="17" t="n">
        <f aca="false">IF(OR($C7="",J$4&lt;$D7),0,INDEX('RAMP SCHEDULES'!$B$4:$M$13,MATCH($C7,'RAMP SCHEDULES'!$A$4:$A$13,0),MIN(12,J$4-$D7+1))*$E7)</f>
        <v>66666.4</v>
      </c>
      <c r="K7" s="17" t="n">
        <f aca="false">IF(OR($C7="",K$4&lt;$D7),0,INDEX('RAMP SCHEDULES'!$B$4:$M$13,MATCH($C7,'RAMP SCHEDULES'!$A$4:$A$13,0),MIN(12,K$4-$D7+1))*$E7)</f>
        <v>66667.2</v>
      </c>
      <c r="L7" s="17" t="n">
        <f aca="false">IF(OR($C7="",L$4&lt;$D7),0,INDEX('RAMP SCHEDULES'!$B$4:$M$13,MATCH($C7,'RAMP SCHEDULES'!$A$4:$A$13,0),MIN(12,L$4-$D7+1))*$E7)</f>
        <v>66667.2</v>
      </c>
      <c r="M7" s="17" t="n">
        <f aca="false">IF(OR($C7="",M$4&lt;$D7),0,INDEX('RAMP SCHEDULES'!$B$4:$M$13,MATCH($C7,'RAMP SCHEDULES'!$A$4:$A$13,0),MIN(12,M$4-$D7+1))*$E7)</f>
        <v>66667.2</v>
      </c>
      <c r="N7" s="17" t="n">
        <f aca="false">IF(OR($C7="",N$4&lt;$D7),0,INDEX('RAMP SCHEDULES'!$B$4:$M$13,MATCH($C7,'RAMP SCHEDULES'!$A$4:$A$13,0),MIN(12,N$4-$D7+1))*$E7)</f>
        <v>66667.2</v>
      </c>
      <c r="O7" s="17" t="n">
        <f aca="false">IF(OR($C7="",O$4&lt;$D7),0,INDEX('RAMP SCHEDULES'!$B$4:$M$13,MATCH($C7,'RAMP SCHEDULES'!$A$4:$A$13,0),MIN(12,O$4-$D7+1))*$E7)</f>
        <v>66667.2</v>
      </c>
      <c r="P7" s="17" t="n">
        <f aca="false">IF(OR($C7="",P$4&lt;$D7),0,INDEX('RAMP SCHEDULES'!$B$4:$M$13,MATCH($C7,'RAMP SCHEDULES'!$A$4:$A$13,0),MIN(12,P$4-$D7+1))*$E7)</f>
        <v>66667.2</v>
      </c>
      <c r="Q7" s="17" t="n">
        <f aca="false">IF(OR($C7="",Q$4&lt;$D7),0,INDEX('RAMP SCHEDULES'!$B$4:$M$13,MATCH($C7,'RAMP SCHEDULES'!$A$4:$A$13,0),MIN(12,Q$4-$D7+1))*$E7)</f>
        <v>66667.2</v>
      </c>
      <c r="R7" s="17" t="n">
        <f aca="false">IF(OR($C7="",R$4&lt;$D7),0,INDEX('RAMP SCHEDULES'!$B$4:$M$13,MATCH($C7,'RAMP SCHEDULES'!$A$4:$A$13,0),MIN(12,R$4-$D7+1))*$E7)</f>
        <v>66667.2</v>
      </c>
      <c r="S7" s="17" t="n">
        <f aca="false">IF(OR($C7="",S$4&lt;$D7),0,INDEX('RAMP SCHEDULES'!$B$4:$M$13,MATCH($C7,'RAMP SCHEDULES'!$A$4:$A$13,0),MIN(12,S$4-$D7+1))*$E7)</f>
        <v>66667.2</v>
      </c>
      <c r="T7" s="17" t="n">
        <f aca="false">IF(OR($C7="",T$4&lt;$D7),0,INDEX('RAMP SCHEDULES'!$B$4:$M$13,MATCH($C7,'RAMP SCHEDULES'!$A$4:$A$13,0),MIN(12,T$4-$D7+1))*$E7)</f>
        <v>66667.2</v>
      </c>
      <c r="U7" s="17" t="n">
        <f aca="false">IF(OR($C7="",U$4&lt;$D7),0,INDEX('RAMP SCHEDULES'!$B$4:$M$13,MATCH($C7,'RAMP SCHEDULES'!$A$4:$A$13,0),MIN(12,U$4-$D7+1))*$F7)</f>
        <v>83333</v>
      </c>
      <c r="V7" s="17" t="n">
        <f aca="false">IF(OR($C7="",V$4&lt;$D7),0,INDEX('RAMP SCHEDULES'!$B$4:$M$13,MATCH($C7,'RAMP SCHEDULES'!$A$4:$A$13,0),MIN(12,V$4-$D7+1))*$F7)</f>
        <v>83333</v>
      </c>
      <c r="W7" s="17" t="n">
        <f aca="false">IF(OR($C7="",W$4&lt;$D7),0,INDEX('RAMP SCHEDULES'!$B$4:$M$13,MATCH($C7,'RAMP SCHEDULES'!$A$4:$A$13,0),MIN(12,W$4-$D7+1))*$F7)</f>
        <v>83334</v>
      </c>
      <c r="X7" s="17" t="n">
        <f aca="false">IF(OR($C7="",X$4&lt;$D7),0,INDEX('RAMP SCHEDULES'!$B$4:$M$13,MATCH($C7,'RAMP SCHEDULES'!$A$4:$A$13,0),MIN(12,X$4-$D7+1))*$F7)</f>
        <v>83334</v>
      </c>
      <c r="Y7" s="17" t="n">
        <f aca="false">IF(OR($C7="",Y$4&lt;$D7),0,INDEX('RAMP SCHEDULES'!$B$4:$M$13,MATCH($C7,'RAMP SCHEDULES'!$A$4:$A$13,0),MIN(12,Y$4-$D7+1))*$F7)</f>
        <v>83334</v>
      </c>
      <c r="Z7" s="17" t="n">
        <f aca="false">IF(OR($C7="",Z$4&lt;$D7),0,INDEX('RAMP SCHEDULES'!$B$4:$M$13,MATCH($C7,'RAMP SCHEDULES'!$A$4:$A$13,0),MIN(12,Z$4-$D7+1))*$F7)</f>
        <v>83334</v>
      </c>
      <c r="AA7" s="17" t="n">
        <f aca="false">IF(OR($C7="",AA$4&lt;$D7),0,INDEX('RAMP SCHEDULES'!$B$4:$M$13,MATCH($C7,'RAMP SCHEDULES'!$A$4:$A$13,0),MIN(12,AA$4-$D7+1))*$F7)</f>
        <v>83334</v>
      </c>
      <c r="AB7" s="17" t="n">
        <f aca="false">IF(OR($C7="",AB$4&lt;$D7),0,INDEX('RAMP SCHEDULES'!$B$4:$M$13,MATCH($C7,'RAMP SCHEDULES'!$A$4:$A$13,0),MIN(12,AB$4-$D7+1))*$F7)</f>
        <v>83334</v>
      </c>
      <c r="AC7" s="17" t="n">
        <f aca="false">IF(OR($C7="",AC$4&lt;$D7),0,INDEX('RAMP SCHEDULES'!$B$4:$M$13,MATCH($C7,'RAMP SCHEDULES'!$A$4:$A$13,0),MIN(12,AC$4-$D7+1))*$F7)</f>
        <v>83334</v>
      </c>
      <c r="AD7" s="17" t="n">
        <f aca="false">IF(OR($C7="",AD$4&lt;$D7),0,INDEX('RAMP SCHEDULES'!$B$4:$M$13,MATCH($C7,'RAMP SCHEDULES'!$A$4:$A$13,0),MIN(12,AD$4-$D7+1))*$F7)</f>
        <v>83334</v>
      </c>
      <c r="AE7" s="17" t="n">
        <f aca="false">IF(OR($C7="",AE$4&lt;$D7),0,INDEX('RAMP SCHEDULES'!$B$4:$M$13,MATCH($C7,'RAMP SCHEDULES'!$A$4:$A$13,0),MIN(12,AE$4-$D7+1))*$F7)</f>
        <v>83334</v>
      </c>
      <c r="AF7" s="17" t="n">
        <f aca="false">IF(OR($C7="",AF$4&lt;$D7),0,INDEX('RAMP SCHEDULES'!$B$4:$M$13,MATCH($C7,'RAMP SCHEDULES'!$A$4:$A$13,0),MIN(12,AF$4-$D7+1))*$F7)</f>
        <v>83334</v>
      </c>
      <c r="AG7" s="18" t="n">
        <f aca="false">SUM(I7:T7)</f>
        <v>800004.8</v>
      </c>
      <c r="AH7" s="18" t="n">
        <f aca="false">SUM(U7:AF7)</f>
        <v>1000006</v>
      </c>
      <c r="AI7" s="17" t="n">
        <f aca="false">AG7*$G7</f>
        <v>20000.12</v>
      </c>
      <c r="AJ7" s="17" t="n">
        <f aca="false">AH7*$G7</f>
        <v>25000.15</v>
      </c>
    </row>
    <row r="8" customFormat="false" ht="15" hidden="false" customHeight="false" outlineLevel="0" collapsed="false">
      <c r="A8" s="25" t="s">
        <v>129</v>
      </c>
      <c r="B8" s="25" t="s">
        <v>127</v>
      </c>
      <c r="C8" s="25" t="s">
        <v>130</v>
      </c>
      <c r="D8" s="26" t="n">
        <v>-8</v>
      </c>
      <c r="E8" s="27" t="n">
        <v>0.8</v>
      </c>
      <c r="F8" s="27" t="n">
        <v>1</v>
      </c>
      <c r="G8" s="28" t="n">
        <v>0.025</v>
      </c>
      <c r="H8" s="17" t="n">
        <f aca="false">IF($C8="",0,12*INDEX('RAMP SCHEDULES'!$B$4:$M$13,MATCH($C8,'RAMP SCHEDULES'!$A$4:$A$13,0),12))</f>
        <v>1000008</v>
      </c>
      <c r="I8" s="17" t="n">
        <f aca="false">IF(OR($C8="",I$4&lt;$D8),0,INDEX('RAMP SCHEDULES'!$B$4:$M$13,MATCH($C8,'RAMP SCHEDULES'!$A$4:$A$13,0),MIN(12,I$4-$D8+1))*$E8)</f>
        <v>66666.4</v>
      </c>
      <c r="J8" s="17" t="n">
        <f aca="false">IF(OR($C8="",J$4&lt;$D8),0,INDEX('RAMP SCHEDULES'!$B$4:$M$13,MATCH($C8,'RAMP SCHEDULES'!$A$4:$A$13,0),MIN(12,J$4-$D8+1))*$E8)</f>
        <v>66666.4</v>
      </c>
      <c r="K8" s="17" t="n">
        <f aca="false">IF(OR($C8="",K$4&lt;$D8),0,INDEX('RAMP SCHEDULES'!$B$4:$M$13,MATCH($C8,'RAMP SCHEDULES'!$A$4:$A$13,0),MIN(12,K$4-$D8+1))*$E8)</f>
        <v>66667.2</v>
      </c>
      <c r="L8" s="17" t="n">
        <f aca="false">IF(OR($C8="",L$4&lt;$D8),0,INDEX('RAMP SCHEDULES'!$B$4:$M$13,MATCH($C8,'RAMP SCHEDULES'!$A$4:$A$13,0),MIN(12,L$4-$D8+1))*$E8)</f>
        <v>66667.2</v>
      </c>
      <c r="M8" s="17" t="n">
        <f aca="false">IF(OR($C8="",M$4&lt;$D8),0,INDEX('RAMP SCHEDULES'!$B$4:$M$13,MATCH($C8,'RAMP SCHEDULES'!$A$4:$A$13,0),MIN(12,M$4-$D8+1))*$E8)</f>
        <v>66667.2</v>
      </c>
      <c r="N8" s="17" t="n">
        <f aca="false">IF(OR($C8="",N$4&lt;$D8),0,INDEX('RAMP SCHEDULES'!$B$4:$M$13,MATCH($C8,'RAMP SCHEDULES'!$A$4:$A$13,0),MIN(12,N$4-$D8+1))*$E8)</f>
        <v>66667.2</v>
      </c>
      <c r="O8" s="17" t="n">
        <f aca="false">IF(OR($C8="",O$4&lt;$D8),0,INDEX('RAMP SCHEDULES'!$B$4:$M$13,MATCH($C8,'RAMP SCHEDULES'!$A$4:$A$13,0),MIN(12,O$4-$D8+1))*$E8)</f>
        <v>66667.2</v>
      </c>
      <c r="P8" s="17" t="n">
        <f aca="false">IF(OR($C8="",P$4&lt;$D8),0,INDEX('RAMP SCHEDULES'!$B$4:$M$13,MATCH($C8,'RAMP SCHEDULES'!$A$4:$A$13,0),MIN(12,P$4-$D8+1))*$E8)</f>
        <v>66667.2</v>
      </c>
      <c r="Q8" s="17" t="n">
        <f aca="false">IF(OR($C8="",Q$4&lt;$D8),0,INDEX('RAMP SCHEDULES'!$B$4:$M$13,MATCH($C8,'RAMP SCHEDULES'!$A$4:$A$13,0),MIN(12,Q$4-$D8+1))*$E8)</f>
        <v>66667.2</v>
      </c>
      <c r="R8" s="17" t="n">
        <f aca="false">IF(OR($C8="",R$4&lt;$D8),0,INDEX('RAMP SCHEDULES'!$B$4:$M$13,MATCH($C8,'RAMP SCHEDULES'!$A$4:$A$13,0),MIN(12,R$4-$D8+1))*$E8)</f>
        <v>66667.2</v>
      </c>
      <c r="S8" s="17" t="n">
        <f aca="false">IF(OR($C8="",S$4&lt;$D8),0,INDEX('RAMP SCHEDULES'!$B$4:$M$13,MATCH($C8,'RAMP SCHEDULES'!$A$4:$A$13,0),MIN(12,S$4-$D8+1))*$E8)</f>
        <v>66667.2</v>
      </c>
      <c r="T8" s="17" t="n">
        <f aca="false">IF(OR($C8="",T$4&lt;$D8),0,INDEX('RAMP SCHEDULES'!$B$4:$M$13,MATCH($C8,'RAMP SCHEDULES'!$A$4:$A$13,0),MIN(12,T$4-$D8+1))*$E8)</f>
        <v>66667.2</v>
      </c>
      <c r="U8" s="17" t="n">
        <f aca="false">IF(OR($C8="",U$4&lt;$D8),0,INDEX('RAMP SCHEDULES'!$B$4:$M$13,MATCH($C8,'RAMP SCHEDULES'!$A$4:$A$13,0),MIN(12,U$4-$D8+1))*$F8)</f>
        <v>83333</v>
      </c>
      <c r="V8" s="17" t="n">
        <f aca="false">IF(OR($C8="",V$4&lt;$D8),0,INDEX('RAMP SCHEDULES'!$B$4:$M$13,MATCH($C8,'RAMP SCHEDULES'!$A$4:$A$13,0),MIN(12,V$4-$D8+1))*$F8)</f>
        <v>83333</v>
      </c>
      <c r="W8" s="17" t="n">
        <f aca="false">IF(OR($C8="",W$4&lt;$D8),0,INDEX('RAMP SCHEDULES'!$B$4:$M$13,MATCH($C8,'RAMP SCHEDULES'!$A$4:$A$13,0),MIN(12,W$4-$D8+1))*$F8)</f>
        <v>83334</v>
      </c>
      <c r="X8" s="17" t="n">
        <f aca="false">IF(OR($C8="",X$4&lt;$D8),0,INDEX('RAMP SCHEDULES'!$B$4:$M$13,MATCH($C8,'RAMP SCHEDULES'!$A$4:$A$13,0),MIN(12,X$4-$D8+1))*$F8)</f>
        <v>83334</v>
      </c>
      <c r="Y8" s="17" t="n">
        <f aca="false">IF(OR($C8="",Y$4&lt;$D8),0,INDEX('RAMP SCHEDULES'!$B$4:$M$13,MATCH($C8,'RAMP SCHEDULES'!$A$4:$A$13,0),MIN(12,Y$4-$D8+1))*$F8)</f>
        <v>83334</v>
      </c>
      <c r="Z8" s="17" t="n">
        <f aca="false">IF(OR($C8="",Z$4&lt;$D8),0,INDEX('RAMP SCHEDULES'!$B$4:$M$13,MATCH($C8,'RAMP SCHEDULES'!$A$4:$A$13,0),MIN(12,Z$4-$D8+1))*$F8)</f>
        <v>83334</v>
      </c>
      <c r="AA8" s="17" t="n">
        <f aca="false">IF(OR($C8="",AA$4&lt;$D8),0,INDEX('RAMP SCHEDULES'!$B$4:$M$13,MATCH($C8,'RAMP SCHEDULES'!$A$4:$A$13,0),MIN(12,AA$4-$D8+1))*$F8)</f>
        <v>83334</v>
      </c>
      <c r="AB8" s="17" t="n">
        <f aca="false">IF(OR($C8="",AB$4&lt;$D8),0,INDEX('RAMP SCHEDULES'!$B$4:$M$13,MATCH($C8,'RAMP SCHEDULES'!$A$4:$A$13,0),MIN(12,AB$4-$D8+1))*$F8)</f>
        <v>83334</v>
      </c>
      <c r="AC8" s="17" t="n">
        <f aca="false">IF(OR($C8="",AC$4&lt;$D8),0,INDEX('RAMP SCHEDULES'!$B$4:$M$13,MATCH($C8,'RAMP SCHEDULES'!$A$4:$A$13,0),MIN(12,AC$4-$D8+1))*$F8)</f>
        <v>83334</v>
      </c>
      <c r="AD8" s="17" t="n">
        <f aca="false">IF(OR($C8="",AD$4&lt;$D8),0,INDEX('RAMP SCHEDULES'!$B$4:$M$13,MATCH($C8,'RAMP SCHEDULES'!$A$4:$A$13,0),MIN(12,AD$4-$D8+1))*$F8)</f>
        <v>83334</v>
      </c>
      <c r="AE8" s="17" t="n">
        <f aca="false">IF(OR($C8="",AE$4&lt;$D8),0,INDEX('RAMP SCHEDULES'!$B$4:$M$13,MATCH($C8,'RAMP SCHEDULES'!$A$4:$A$13,0),MIN(12,AE$4-$D8+1))*$F8)</f>
        <v>83334</v>
      </c>
      <c r="AF8" s="17" t="n">
        <f aca="false">IF(OR($C8="",AF$4&lt;$D8),0,INDEX('RAMP SCHEDULES'!$B$4:$M$13,MATCH($C8,'RAMP SCHEDULES'!$A$4:$A$13,0),MIN(12,AF$4-$D8+1))*$F8)</f>
        <v>83334</v>
      </c>
      <c r="AG8" s="18" t="n">
        <f aca="false">SUM(I8:T8)</f>
        <v>800004.8</v>
      </c>
      <c r="AH8" s="18" t="n">
        <f aca="false">SUM(U8:AF8)</f>
        <v>1000006</v>
      </c>
      <c r="AI8" s="17" t="n">
        <f aca="false">AG8*$G8</f>
        <v>20000.12</v>
      </c>
      <c r="AJ8" s="17" t="n">
        <f aca="false">AH8*$G8</f>
        <v>25000.15</v>
      </c>
    </row>
    <row r="9" customFormat="false" ht="15" hidden="false" customHeight="false" outlineLevel="0" collapsed="false">
      <c r="A9" s="25" t="s">
        <v>131</v>
      </c>
      <c r="B9" s="25" t="s">
        <v>127</v>
      </c>
      <c r="C9" s="25" t="s">
        <v>130</v>
      </c>
      <c r="D9" s="26" t="n">
        <v>-8</v>
      </c>
      <c r="E9" s="27" t="n">
        <v>0.8</v>
      </c>
      <c r="F9" s="27" t="n">
        <v>1</v>
      </c>
      <c r="G9" s="28" t="n">
        <v>0.025</v>
      </c>
      <c r="H9" s="17" t="n">
        <f aca="false">IF($C9="",0,12*INDEX('RAMP SCHEDULES'!$B$4:$M$13,MATCH($C9,'RAMP SCHEDULES'!$A$4:$A$13,0),12))</f>
        <v>1000008</v>
      </c>
      <c r="I9" s="17" t="n">
        <f aca="false">IF(OR($C9="",I$4&lt;$D9),0,INDEX('RAMP SCHEDULES'!$B$4:$M$13,MATCH($C9,'RAMP SCHEDULES'!$A$4:$A$13,0),MIN(12,I$4-$D9+1))*$E9)</f>
        <v>66666.4</v>
      </c>
      <c r="J9" s="17" t="n">
        <f aca="false">IF(OR($C9="",J$4&lt;$D9),0,INDEX('RAMP SCHEDULES'!$B$4:$M$13,MATCH($C9,'RAMP SCHEDULES'!$A$4:$A$13,0),MIN(12,J$4-$D9+1))*$E9)</f>
        <v>66666.4</v>
      </c>
      <c r="K9" s="17" t="n">
        <f aca="false">IF(OR($C9="",K$4&lt;$D9),0,INDEX('RAMP SCHEDULES'!$B$4:$M$13,MATCH($C9,'RAMP SCHEDULES'!$A$4:$A$13,0),MIN(12,K$4-$D9+1))*$E9)</f>
        <v>66667.2</v>
      </c>
      <c r="L9" s="17" t="n">
        <f aca="false">IF(OR($C9="",L$4&lt;$D9),0,INDEX('RAMP SCHEDULES'!$B$4:$M$13,MATCH($C9,'RAMP SCHEDULES'!$A$4:$A$13,0),MIN(12,L$4-$D9+1))*$E9)</f>
        <v>66667.2</v>
      </c>
      <c r="M9" s="17" t="n">
        <f aca="false">IF(OR($C9="",M$4&lt;$D9),0,INDEX('RAMP SCHEDULES'!$B$4:$M$13,MATCH($C9,'RAMP SCHEDULES'!$A$4:$A$13,0),MIN(12,M$4-$D9+1))*$E9)</f>
        <v>66667.2</v>
      </c>
      <c r="N9" s="17" t="n">
        <f aca="false">IF(OR($C9="",N$4&lt;$D9),0,INDEX('RAMP SCHEDULES'!$B$4:$M$13,MATCH($C9,'RAMP SCHEDULES'!$A$4:$A$13,0),MIN(12,N$4-$D9+1))*$E9)</f>
        <v>66667.2</v>
      </c>
      <c r="O9" s="17" t="n">
        <f aca="false">IF(OR($C9="",O$4&lt;$D9),0,INDEX('RAMP SCHEDULES'!$B$4:$M$13,MATCH($C9,'RAMP SCHEDULES'!$A$4:$A$13,0),MIN(12,O$4-$D9+1))*$E9)</f>
        <v>66667.2</v>
      </c>
      <c r="P9" s="17" t="n">
        <f aca="false">IF(OR($C9="",P$4&lt;$D9),0,INDEX('RAMP SCHEDULES'!$B$4:$M$13,MATCH($C9,'RAMP SCHEDULES'!$A$4:$A$13,0),MIN(12,P$4-$D9+1))*$E9)</f>
        <v>66667.2</v>
      </c>
      <c r="Q9" s="17" t="n">
        <f aca="false">IF(OR($C9="",Q$4&lt;$D9),0,INDEX('RAMP SCHEDULES'!$B$4:$M$13,MATCH($C9,'RAMP SCHEDULES'!$A$4:$A$13,0),MIN(12,Q$4-$D9+1))*$E9)</f>
        <v>66667.2</v>
      </c>
      <c r="R9" s="17" t="n">
        <f aca="false">IF(OR($C9="",R$4&lt;$D9),0,INDEX('RAMP SCHEDULES'!$B$4:$M$13,MATCH($C9,'RAMP SCHEDULES'!$A$4:$A$13,0),MIN(12,R$4-$D9+1))*$E9)</f>
        <v>66667.2</v>
      </c>
      <c r="S9" s="17" t="n">
        <f aca="false">IF(OR($C9="",S$4&lt;$D9),0,INDEX('RAMP SCHEDULES'!$B$4:$M$13,MATCH($C9,'RAMP SCHEDULES'!$A$4:$A$13,0),MIN(12,S$4-$D9+1))*$E9)</f>
        <v>66667.2</v>
      </c>
      <c r="T9" s="17" t="n">
        <f aca="false">IF(OR($C9="",T$4&lt;$D9),0,INDEX('RAMP SCHEDULES'!$B$4:$M$13,MATCH($C9,'RAMP SCHEDULES'!$A$4:$A$13,0),MIN(12,T$4-$D9+1))*$E9)</f>
        <v>66667.2</v>
      </c>
      <c r="U9" s="17" t="n">
        <f aca="false">IF(OR($C9="",U$4&lt;$D9),0,INDEX('RAMP SCHEDULES'!$B$4:$M$13,MATCH($C9,'RAMP SCHEDULES'!$A$4:$A$13,0),MIN(12,U$4-$D9+1))*$F9)</f>
        <v>83333</v>
      </c>
      <c r="V9" s="17" t="n">
        <f aca="false">IF(OR($C9="",V$4&lt;$D9),0,INDEX('RAMP SCHEDULES'!$B$4:$M$13,MATCH($C9,'RAMP SCHEDULES'!$A$4:$A$13,0),MIN(12,V$4-$D9+1))*$F9)</f>
        <v>83333</v>
      </c>
      <c r="W9" s="17" t="n">
        <f aca="false">IF(OR($C9="",W$4&lt;$D9),0,INDEX('RAMP SCHEDULES'!$B$4:$M$13,MATCH($C9,'RAMP SCHEDULES'!$A$4:$A$13,0),MIN(12,W$4-$D9+1))*$F9)</f>
        <v>83334</v>
      </c>
      <c r="X9" s="17" t="n">
        <f aca="false">IF(OR($C9="",X$4&lt;$D9),0,INDEX('RAMP SCHEDULES'!$B$4:$M$13,MATCH($C9,'RAMP SCHEDULES'!$A$4:$A$13,0),MIN(12,X$4-$D9+1))*$F9)</f>
        <v>83334</v>
      </c>
      <c r="Y9" s="17" t="n">
        <f aca="false">IF(OR($C9="",Y$4&lt;$D9),0,INDEX('RAMP SCHEDULES'!$B$4:$M$13,MATCH($C9,'RAMP SCHEDULES'!$A$4:$A$13,0),MIN(12,Y$4-$D9+1))*$F9)</f>
        <v>83334</v>
      </c>
      <c r="Z9" s="17" t="n">
        <f aca="false">IF(OR($C9="",Z$4&lt;$D9),0,INDEX('RAMP SCHEDULES'!$B$4:$M$13,MATCH($C9,'RAMP SCHEDULES'!$A$4:$A$13,0),MIN(12,Z$4-$D9+1))*$F9)</f>
        <v>83334</v>
      </c>
      <c r="AA9" s="17" t="n">
        <f aca="false">IF(OR($C9="",AA$4&lt;$D9),0,INDEX('RAMP SCHEDULES'!$B$4:$M$13,MATCH($C9,'RAMP SCHEDULES'!$A$4:$A$13,0),MIN(12,AA$4-$D9+1))*$F9)</f>
        <v>83334</v>
      </c>
      <c r="AB9" s="17" t="n">
        <f aca="false">IF(OR($C9="",AB$4&lt;$D9),0,INDEX('RAMP SCHEDULES'!$B$4:$M$13,MATCH($C9,'RAMP SCHEDULES'!$A$4:$A$13,0),MIN(12,AB$4-$D9+1))*$F9)</f>
        <v>83334</v>
      </c>
      <c r="AC9" s="17" t="n">
        <f aca="false">IF(OR($C9="",AC$4&lt;$D9),0,INDEX('RAMP SCHEDULES'!$B$4:$M$13,MATCH($C9,'RAMP SCHEDULES'!$A$4:$A$13,0),MIN(12,AC$4-$D9+1))*$F9)</f>
        <v>83334</v>
      </c>
      <c r="AD9" s="17" t="n">
        <f aca="false">IF(OR($C9="",AD$4&lt;$D9),0,INDEX('RAMP SCHEDULES'!$B$4:$M$13,MATCH($C9,'RAMP SCHEDULES'!$A$4:$A$13,0),MIN(12,AD$4-$D9+1))*$F9)</f>
        <v>83334</v>
      </c>
      <c r="AE9" s="17" t="n">
        <f aca="false">IF(OR($C9="",AE$4&lt;$D9),0,INDEX('RAMP SCHEDULES'!$B$4:$M$13,MATCH($C9,'RAMP SCHEDULES'!$A$4:$A$13,0),MIN(12,AE$4-$D9+1))*$F9)</f>
        <v>83334</v>
      </c>
      <c r="AF9" s="17" t="n">
        <f aca="false">IF(OR($C9="",AF$4&lt;$D9),0,INDEX('RAMP SCHEDULES'!$B$4:$M$13,MATCH($C9,'RAMP SCHEDULES'!$A$4:$A$13,0),MIN(12,AF$4-$D9+1))*$F9)</f>
        <v>83334</v>
      </c>
      <c r="AG9" s="18" t="n">
        <f aca="false">SUM(I9:T9)</f>
        <v>800004.8</v>
      </c>
      <c r="AH9" s="18" t="n">
        <f aca="false">SUM(U9:AF9)</f>
        <v>1000006</v>
      </c>
      <c r="AI9" s="17" t="n">
        <f aca="false">AG9*$G9</f>
        <v>20000.12</v>
      </c>
      <c r="AJ9" s="17" t="n">
        <f aca="false">AH9*$G9</f>
        <v>25000.15</v>
      </c>
    </row>
    <row r="10" customFormat="false" ht="15" hidden="false" customHeight="false" outlineLevel="0" collapsed="false">
      <c r="A10" s="25" t="s">
        <v>132</v>
      </c>
      <c r="B10" s="25" t="s">
        <v>127</v>
      </c>
      <c r="C10" s="25" t="s">
        <v>130</v>
      </c>
      <c r="D10" s="26" t="n">
        <v>-4</v>
      </c>
      <c r="E10" s="27" t="n">
        <v>0.8</v>
      </c>
      <c r="F10" s="27" t="n">
        <v>1</v>
      </c>
      <c r="G10" s="28" t="n">
        <v>0.025</v>
      </c>
      <c r="H10" s="17" t="n">
        <f aca="false">IF($C10="",0,12*INDEX('RAMP SCHEDULES'!$B$4:$M$13,MATCH($C10,'RAMP SCHEDULES'!$A$4:$A$13,0),12))</f>
        <v>1000008</v>
      </c>
      <c r="I10" s="17" t="n">
        <f aca="false">IF(OR($C10="",I$4&lt;$D10),0,INDEX('RAMP SCHEDULES'!$B$4:$M$13,MATCH($C10,'RAMP SCHEDULES'!$A$4:$A$13,0),MIN(12,I$4-$D10+1))*$E10)</f>
        <v>36000</v>
      </c>
      <c r="J10" s="17" t="n">
        <f aca="false">IF(OR($C10="",J$4&lt;$D10),0,INDEX('RAMP SCHEDULES'!$B$4:$M$13,MATCH($C10,'RAMP SCHEDULES'!$A$4:$A$13,0),MIN(12,J$4-$D10+1))*$E10)</f>
        <v>40000</v>
      </c>
      <c r="K10" s="17" t="n">
        <f aca="false">IF(OR($C10="",K$4&lt;$D10),0,INDEX('RAMP SCHEDULES'!$B$4:$M$13,MATCH($C10,'RAMP SCHEDULES'!$A$4:$A$13,0),MIN(12,K$4-$D10+1))*$E10)</f>
        <v>44000</v>
      </c>
      <c r="L10" s="17" t="n">
        <f aca="false">IF(OR($C10="",L$4&lt;$D10),0,INDEX('RAMP SCHEDULES'!$B$4:$M$13,MATCH($C10,'RAMP SCHEDULES'!$A$4:$A$13,0),MIN(12,L$4-$D10+1))*$E10)</f>
        <v>56000</v>
      </c>
      <c r="M10" s="17" t="n">
        <f aca="false">IF(OR($C10="",M$4&lt;$D10),0,INDEX('RAMP SCHEDULES'!$B$4:$M$13,MATCH($C10,'RAMP SCHEDULES'!$A$4:$A$13,0),MIN(12,M$4-$D10+1))*$E10)</f>
        <v>66666.4</v>
      </c>
      <c r="N10" s="17" t="n">
        <f aca="false">IF(OR($C10="",N$4&lt;$D10),0,INDEX('RAMP SCHEDULES'!$B$4:$M$13,MATCH($C10,'RAMP SCHEDULES'!$A$4:$A$13,0),MIN(12,N$4-$D10+1))*$E10)</f>
        <v>66666.4</v>
      </c>
      <c r="O10" s="17" t="n">
        <f aca="false">IF(OR($C10="",O$4&lt;$D10),0,INDEX('RAMP SCHEDULES'!$B$4:$M$13,MATCH($C10,'RAMP SCHEDULES'!$A$4:$A$13,0),MIN(12,O$4-$D10+1))*$E10)</f>
        <v>66667.2</v>
      </c>
      <c r="P10" s="17" t="n">
        <f aca="false">IF(OR($C10="",P$4&lt;$D10),0,INDEX('RAMP SCHEDULES'!$B$4:$M$13,MATCH($C10,'RAMP SCHEDULES'!$A$4:$A$13,0),MIN(12,P$4-$D10+1))*$E10)</f>
        <v>66667.2</v>
      </c>
      <c r="Q10" s="17" t="n">
        <f aca="false">IF(OR($C10="",Q$4&lt;$D10),0,INDEX('RAMP SCHEDULES'!$B$4:$M$13,MATCH($C10,'RAMP SCHEDULES'!$A$4:$A$13,0),MIN(12,Q$4-$D10+1))*$E10)</f>
        <v>66667.2</v>
      </c>
      <c r="R10" s="17" t="n">
        <f aca="false">IF(OR($C10="",R$4&lt;$D10),0,INDEX('RAMP SCHEDULES'!$B$4:$M$13,MATCH($C10,'RAMP SCHEDULES'!$A$4:$A$13,0),MIN(12,R$4-$D10+1))*$E10)</f>
        <v>66667.2</v>
      </c>
      <c r="S10" s="17" t="n">
        <f aca="false">IF(OR($C10="",S$4&lt;$D10),0,INDEX('RAMP SCHEDULES'!$B$4:$M$13,MATCH($C10,'RAMP SCHEDULES'!$A$4:$A$13,0),MIN(12,S$4-$D10+1))*$E10)</f>
        <v>66667.2</v>
      </c>
      <c r="T10" s="17" t="n">
        <f aca="false">IF(OR($C10="",T$4&lt;$D10),0,INDEX('RAMP SCHEDULES'!$B$4:$M$13,MATCH($C10,'RAMP SCHEDULES'!$A$4:$A$13,0),MIN(12,T$4-$D10+1))*$E10)</f>
        <v>66667.2</v>
      </c>
      <c r="U10" s="17" t="n">
        <f aca="false">IF(OR($C10="",U$4&lt;$D10),0,INDEX('RAMP SCHEDULES'!$B$4:$M$13,MATCH($C10,'RAMP SCHEDULES'!$A$4:$A$13,0),MIN(12,U$4-$D10+1))*$F10)</f>
        <v>45000</v>
      </c>
      <c r="V10" s="17" t="n">
        <f aca="false">IF(OR($C10="",V$4&lt;$D10),0,INDEX('RAMP SCHEDULES'!$B$4:$M$13,MATCH($C10,'RAMP SCHEDULES'!$A$4:$A$13,0),MIN(12,V$4-$D10+1))*$F10)</f>
        <v>50000</v>
      </c>
      <c r="W10" s="17" t="n">
        <f aca="false">IF(OR($C10="",W$4&lt;$D10),0,INDEX('RAMP SCHEDULES'!$B$4:$M$13,MATCH($C10,'RAMP SCHEDULES'!$A$4:$A$13,0),MIN(12,W$4-$D10+1))*$F10)</f>
        <v>55000</v>
      </c>
      <c r="X10" s="17" t="n">
        <f aca="false">IF(OR($C10="",X$4&lt;$D10),0,INDEX('RAMP SCHEDULES'!$B$4:$M$13,MATCH($C10,'RAMP SCHEDULES'!$A$4:$A$13,0),MIN(12,X$4-$D10+1))*$F10)</f>
        <v>70000</v>
      </c>
      <c r="Y10" s="17" t="n">
        <f aca="false">IF(OR($C10="",Y$4&lt;$D10),0,INDEX('RAMP SCHEDULES'!$B$4:$M$13,MATCH($C10,'RAMP SCHEDULES'!$A$4:$A$13,0),MIN(12,Y$4-$D10+1))*$F10)</f>
        <v>83333</v>
      </c>
      <c r="Z10" s="17" t="n">
        <f aca="false">IF(OR($C10="",Z$4&lt;$D10),0,INDEX('RAMP SCHEDULES'!$B$4:$M$13,MATCH($C10,'RAMP SCHEDULES'!$A$4:$A$13,0),MIN(12,Z$4-$D10+1))*$F10)</f>
        <v>83333</v>
      </c>
      <c r="AA10" s="17" t="n">
        <f aca="false">IF(OR($C10="",AA$4&lt;$D10),0,INDEX('RAMP SCHEDULES'!$B$4:$M$13,MATCH($C10,'RAMP SCHEDULES'!$A$4:$A$13,0),MIN(12,AA$4-$D10+1))*$F10)</f>
        <v>83334</v>
      </c>
      <c r="AB10" s="17" t="n">
        <f aca="false">IF(OR($C10="",AB$4&lt;$D10),0,INDEX('RAMP SCHEDULES'!$B$4:$M$13,MATCH($C10,'RAMP SCHEDULES'!$A$4:$A$13,0),MIN(12,AB$4-$D10+1))*$F10)</f>
        <v>83334</v>
      </c>
      <c r="AC10" s="17" t="n">
        <f aca="false">IF(OR($C10="",AC$4&lt;$D10),0,INDEX('RAMP SCHEDULES'!$B$4:$M$13,MATCH($C10,'RAMP SCHEDULES'!$A$4:$A$13,0),MIN(12,AC$4-$D10+1))*$F10)</f>
        <v>83334</v>
      </c>
      <c r="AD10" s="17" t="n">
        <f aca="false">IF(OR($C10="",AD$4&lt;$D10),0,INDEX('RAMP SCHEDULES'!$B$4:$M$13,MATCH($C10,'RAMP SCHEDULES'!$A$4:$A$13,0),MIN(12,AD$4-$D10+1))*$F10)</f>
        <v>83334</v>
      </c>
      <c r="AE10" s="17" t="n">
        <f aca="false">IF(OR($C10="",AE$4&lt;$D10),0,INDEX('RAMP SCHEDULES'!$B$4:$M$13,MATCH($C10,'RAMP SCHEDULES'!$A$4:$A$13,0),MIN(12,AE$4-$D10+1))*$F10)</f>
        <v>83334</v>
      </c>
      <c r="AF10" s="17" t="n">
        <f aca="false">IF(OR($C10="",AF$4&lt;$D10),0,INDEX('RAMP SCHEDULES'!$B$4:$M$13,MATCH($C10,'RAMP SCHEDULES'!$A$4:$A$13,0),MIN(12,AF$4-$D10+1))*$F10)</f>
        <v>83334</v>
      </c>
      <c r="AG10" s="18" t="n">
        <f aca="false">SUM(I10:T10)</f>
        <v>709336</v>
      </c>
      <c r="AH10" s="18" t="n">
        <f aca="false">SUM(U10:AF10)</f>
        <v>886670</v>
      </c>
      <c r="AI10" s="17" t="n">
        <f aca="false">AG10*$G10</f>
        <v>17733.4</v>
      </c>
      <c r="AJ10" s="17" t="n">
        <f aca="false">AH10*$G10</f>
        <v>22166.75</v>
      </c>
    </row>
    <row r="11" customFormat="false" ht="15" hidden="false" customHeight="false" outlineLevel="0" collapsed="false">
      <c r="A11" s="25" t="s">
        <v>133</v>
      </c>
      <c r="B11" s="25" t="s">
        <v>127</v>
      </c>
      <c r="C11" s="25" t="s">
        <v>130</v>
      </c>
      <c r="D11" s="26" t="n">
        <v>-1</v>
      </c>
      <c r="E11" s="27" t="n">
        <v>0.8</v>
      </c>
      <c r="F11" s="27" t="n">
        <v>1</v>
      </c>
      <c r="G11" s="28" t="n">
        <v>0.025</v>
      </c>
      <c r="H11" s="17" t="n">
        <f aca="false">IF($C11="",0,12*INDEX('RAMP SCHEDULES'!$B$4:$M$13,MATCH($C11,'RAMP SCHEDULES'!$A$4:$A$13,0),12))</f>
        <v>1000008</v>
      </c>
      <c r="I11" s="17" t="n">
        <f aca="false">IF(OR($C11="",I$4&lt;$D11),0,INDEX('RAMP SCHEDULES'!$B$4:$M$13,MATCH($C11,'RAMP SCHEDULES'!$A$4:$A$13,0),MIN(12,I$4-$D11+1))*$E11)</f>
        <v>32000</v>
      </c>
      <c r="J11" s="17" t="n">
        <f aca="false">IF(OR($C11="",J$4&lt;$D11),0,INDEX('RAMP SCHEDULES'!$B$4:$M$13,MATCH($C11,'RAMP SCHEDULES'!$A$4:$A$13,0),MIN(12,J$4-$D11+1))*$E11)</f>
        <v>32000</v>
      </c>
      <c r="K11" s="17" t="n">
        <f aca="false">IF(OR($C11="",K$4&lt;$D11),0,INDEX('RAMP SCHEDULES'!$B$4:$M$13,MATCH($C11,'RAMP SCHEDULES'!$A$4:$A$13,0),MIN(12,K$4-$D11+1))*$E11)</f>
        <v>36000</v>
      </c>
      <c r="L11" s="17" t="n">
        <f aca="false">IF(OR($C11="",L$4&lt;$D11),0,INDEX('RAMP SCHEDULES'!$B$4:$M$13,MATCH($C11,'RAMP SCHEDULES'!$A$4:$A$13,0),MIN(12,L$4-$D11+1))*$E11)</f>
        <v>36000</v>
      </c>
      <c r="M11" s="17" t="n">
        <f aca="false">IF(OR($C11="",M$4&lt;$D11),0,INDEX('RAMP SCHEDULES'!$B$4:$M$13,MATCH($C11,'RAMP SCHEDULES'!$A$4:$A$13,0),MIN(12,M$4-$D11+1))*$E11)</f>
        <v>40000</v>
      </c>
      <c r="N11" s="17" t="n">
        <f aca="false">IF(OR($C11="",N$4&lt;$D11),0,INDEX('RAMP SCHEDULES'!$B$4:$M$13,MATCH($C11,'RAMP SCHEDULES'!$A$4:$A$13,0),MIN(12,N$4-$D11+1))*$E11)</f>
        <v>44000</v>
      </c>
      <c r="O11" s="17" t="n">
        <f aca="false">IF(OR($C11="",O$4&lt;$D11),0,INDEX('RAMP SCHEDULES'!$B$4:$M$13,MATCH($C11,'RAMP SCHEDULES'!$A$4:$A$13,0),MIN(12,O$4-$D11+1))*$E11)</f>
        <v>56000</v>
      </c>
      <c r="P11" s="17" t="n">
        <f aca="false">IF(OR($C11="",P$4&lt;$D11),0,INDEX('RAMP SCHEDULES'!$B$4:$M$13,MATCH($C11,'RAMP SCHEDULES'!$A$4:$A$13,0),MIN(12,P$4-$D11+1))*$E11)</f>
        <v>66666.4</v>
      </c>
      <c r="Q11" s="17" t="n">
        <f aca="false">IF(OR($C11="",Q$4&lt;$D11),0,INDEX('RAMP SCHEDULES'!$B$4:$M$13,MATCH($C11,'RAMP SCHEDULES'!$A$4:$A$13,0),MIN(12,Q$4-$D11+1))*$E11)</f>
        <v>66666.4</v>
      </c>
      <c r="R11" s="17" t="n">
        <f aca="false">IF(OR($C11="",R$4&lt;$D11),0,INDEX('RAMP SCHEDULES'!$B$4:$M$13,MATCH($C11,'RAMP SCHEDULES'!$A$4:$A$13,0),MIN(12,R$4-$D11+1))*$E11)</f>
        <v>66667.2</v>
      </c>
      <c r="S11" s="17" t="n">
        <f aca="false">IF(OR($C11="",S$4&lt;$D11),0,INDEX('RAMP SCHEDULES'!$B$4:$M$13,MATCH($C11,'RAMP SCHEDULES'!$A$4:$A$13,0),MIN(12,S$4-$D11+1))*$E11)</f>
        <v>66667.2</v>
      </c>
      <c r="T11" s="17" t="n">
        <f aca="false">IF(OR($C11="",T$4&lt;$D11),0,INDEX('RAMP SCHEDULES'!$B$4:$M$13,MATCH($C11,'RAMP SCHEDULES'!$A$4:$A$13,0),MIN(12,T$4-$D11+1))*$E11)</f>
        <v>66667.2</v>
      </c>
      <c r="U11" s="17" t="n">
        <f aca="false">IF(OR($C11="",U$4&lt;$D11),0,INDEX('RAMP SCHEDULES'!$B$4:$M$13,MATCH($C11,'RAMP SCHEDULES'!$A$4:$A$13,0),MIN(12,U$4-$D11+1))*$F11)</f>
        <v>40000</v>
      </c>
      <c r="V11" s="17" t="n">
        <f aca="false">IF(OR($C11="",V$4&lt;$D11),0,INDEX('RAMP SCHEDULES'!$B$4:$M$13,MATCH($C11,'RAMP SCHEDULES'!$A$4:$A$13,0),MIN(12,V$4-$D11+1))*$F11)</f>
        <v>40000</v>
      </c>
      <c r="W11" s="17" t="n">
        <f aca="false">IF(OR($C11="",W$4&lt;$D11),0,INDEX('RAMP SCHEDULES'!$B$4:$M$13,MATCH($C11,'RAMP SCHEDULES'!$A$4:$A$13,0),MIN(12,W$4-$D11+1))*$F11)</f>
        <v>45000</v>
      </c>
      <c r="X11" s="17" t="n">
        <f aca="false">IF(OR($C11="",X$4&lt;$D11),0,INDEX('RAMP SCHEDULES'!$B$4:$M$13,MATCH($C11,'RAMP SCHEDULES'!$A$4:$A$13,0),MIN(12,X$4-$D11+1))*$F11)</f>
        <v>45000</v>
      </c>
      <c r="Y11" s="17" t="n">
        <f aca="false">IF(OR($C11="",Y$4&lt;$D11),0,INDEX('RAMP SCHEDULES'!$B$4:$M$13,MATCH($C11,'RAMP SCHEDULES'!$A$4:$A$13,0),MIN(12,Y$4-$D11+1))*$F11)</f>
        <v>50000</v>
      </c>
      <c r="Z11" s="17" t="n">
        <f aca="false">IF(OR($C11="",Z$4&lt;$D11),0,INDEX('RAMP SCHEDULES'!$B$4:$M$13,MATCH($C11,'RAMP SCHEDULES'!$A$4:$A$13,0),MIN(12,Z$4-$D11+1))*$F11)</f>
        <v>55000</v>
      </c>
      <c r="AA11" s="17" t="n">
        <f aca="false">IF(OR($C11="",AA$4&lt;$D11),0,INDEX('RAMP SCHEDULES'!$B$4:$M$13,MATCH($C11,'RAMP SCHEDULES'!$A$4:$A$13,0),MIN(12,AA$4-$D11+1))*$F11)</f>
        <v>70000</v>
      </c>
      <c r="AB11" s="17" t="n">
        <f aca="false">IF(OR($C11="",AB$4&lt;$D11),0,INDEX('RAMP SCHEDULES'!$B$4:$M$13,MATCH($C11,'RAMP SCHEDULES'!$A$4:$A$13,0),MIN(12,AB$4-$D11+1))*$F11)</f>
        <v>83333</v>
      </c>
      <c r="AC11" s="17" t="n">
        <f aca="false">IF(OR($C11="",AC$4&lt;$D11),0,INDEX('RAMP SCHEDULES'!$B$4:$M$13,MATCH($C11,'RAMP SCHEDULES'!$A$4:$A$13,0),MIN(12,AC$4-$D11+1))*$F11)</f>
        <v>83333</v>
      </c>
      <c r="AD11" s="17" t="n">
        <f aca="false">IF(OR($C11="",AD$4&lt;$D11),0,INDEX('RAMP SCHEDULES'!$B$4:$M$13,MATCH($C11,'RAMP SCHEDULES'!$A$4:$A$13,0),MIN(12,AD$4-$D11+1))*$F11)</f>
        <v>83334</v>
      </c>
      <c r="AE11" s="17" t="n">
        <f aca="false">IF(OR($C11="",AE$4&lt;$D11),0,INDEX('RAMP SCHEDULES'!$B$4:$M$13,MATCH($C11,'RAMP SCHEDULES'!$A$4:$A$13,0),MIN(12,AE$4-$D11+1))*$F11)</f>
        <v>83334</v>
      </c>
      <c r="AF11" s="17" t="n">
        <f aca="false">IF(OR($C11="",AF$4&lt;$D11),0,INDEX('RAMP SCHEDULES'!$B$4:$M$13,MATCH($C11,'RAMP SCHEDULES'!$A$4:$A$13,0),MIN(12,AF$4-$D11+1))*$F11)</f>
        <v>83334</v>
      </c>
      <c r="AG11" s="18" t="n">
        <f aca="false">SUM(I11:T11)</f>
        <v>609334.4</v>
      </c>
      <c r="AH11" s="18" t="n">
        <f aca="false">SUM(U11:AF11)</f>
        <v>761668</v>
      </c>
      <c r="AI11" s="17" t="n">
        <f aca="false">AG11*$G11</f>
        <v>15233.36</v>
      </c>
      <c r="AJ11" s="17" t="n">
        <f aca="false">AH11*$G11</f>
        <v>19041.7</v>
      </c>
    </row>
    <row r="12" customFormat="false" ht="15" hidden="false" customHeight="false" outlineLevel="0" collapsed="false">
      <c r="A12" s="25" t="s">
        <v>134</v>
      </c>
      <c r="B12" s="25" t="s">
        <v>127</v>
      </c>
      <c r="C12" s="25" t="s">
        <v>130</v>
      </c>
      <c r="D12" s="26" t="n">
        <v>3</v>
      </c>
      <c r="E12" s="27" t="n">
        <v>0.8</v>
      </c>
      <c r="F12" s="27" t="n">
        <v>1</v>
      </c>
      <c r="G12" s="28" t="n">
        <v>0.025</v>
      </c>
      <c r="H12" s="17" t="n">
        <f aca="false">IF($C12="",0,12*INDEX('RAMP SCHEDULES'!$B$4:$M$13,MATCH($C12,'RAMP SCHEDULES'!$A$4:$A$13,0),12))</f>
        <v>1000008</v>
      </c>
      <c r="I12" s="17" t="n">
        <f aca="false">IF(OR($C12="",I$4&lt;$D12),0,INDEX('RAMP SCHEDULES'!$B$4:$M$13,MATCH($C12,'RAMP SCHEDULES'!$A$4:$A$13,0),MIN(12,I$4-$D12+1))*$E12)</f>
        <v>0</v>
      </c>
      <c r="J12" s="17" t="n">
        <f aca="false">IF(OR($C12="",J$4&lt;$D12),0,INDEX('RAMP SCHEDULES'!$B$4:$M$13,MATCH($C12,'RAMP SCHEDULES'!$A$4:$A$13,0),MIN(12,J$4-$D12+1))*$E12)</f>
        <v>0</v>
      </c>
      <c r="K12" s="17" t="n">
        <f aca="false">IF(OR($C12="",K$4&lt;$D12),0,INDEX('RAMP SCHEDULES'!$B$4:$M$13,MATCH($C12,'RAMP SCHEDULES'!$A$4:$A$13,0),MIN(12,K$4-$D12+1))*$E12)</f>
        <v>0</v>
      </c>
      <c r="L12" s="17" t="n">
        <f aca="false">IF(OR($C12="",L$4&lt;$D12),0,INDEX('RAMP SCHEDULES'!$B$4:$M$13,MATCH($C12,'RAMP SCHEDULES'!$A$4:$A$13,0),MIN(12,L$4-$D12+1))*$E12)</f>
        <v>24000</v>
      </c>
      <c r="M12" s="17" t="n">
        <f aca="false">IF(OR($C12="",M$4&lt;$D12),0,INDEX('RAMP SCHEDULES'!$B$4:$M$13,MATCH($C12,'RAMP SCHEDULES'!$A$4:$A$13,0),MIN(12,M$4-$D12+1))*$E12)</f>
        <v>32000</v>
      </c>
      <c r="N12" s="17" t="n">
        <f aca="false">IF(OR($C12="",N$4&lt;$D12),0,INDEX('RAMP SCHEDULES'!$B$4:$M$13,MATCH($C12,'RAMP SCHEDULES'!$A$4:$A$13,0),MIN(12,N$4-$D12+1))*$E12)</f>
        <v>32000</v>
      </c>
      <c r="O12" s="17" t="n">
        <f aca="false">IF(OR($C12="",O$4&lt;$D12),0,INDEX('RAMP SCHEDULES'!$B$4:$M$13,MATCH($C12,'RAMP SCHEDULES'!$A$4:$A$13,0),MIN(12,O$4-$D12+1))*$E12)</f>
        <v>36000</v>
      </c>
      <c r="P12" s="17" t="n">
        <f aca="false">IF(OR($C12="",P$4&lt;$D12),0,INDEX('RAMP SCHEDULES'!$B$4:$M$13,MATCH($C12,'RAMP SCHEDULES'!$A$4:$A$13,0),MIN(12,P$4-$D12+1))*$E12)</f>
        <v>36000</v>
      </c>
      <c r="Q12" s="17" t="n">
        <f aca="false">IF(OR($C12="",Q$4&lt;$D12),0,INDEX('RAMP SCHEDULES'!$B$4:$M$13,MATCH($C12,'RAMP SCHEDULES'!$A$4:$A$13,0),MIN(12,Q$4-$D12+1))*$E12)</f>
        <v>40000</v>
      </c>
      <c r="R12" s="17" t="n">
        <f aca="false">IF(OR($C12="",R$4&lt;$D12),0,INDEX('RAMP SCHEDULES'!$B$4:$M$13,MATCH($C12,'RAMP SCHEDULES'!$A$4:$A$13,0),MIN(12,R$4-$D12+1))*$E12)</f>
        <v>44000</v>
      </c>
      <c r="S12" s="17" t="n">
        <f aca="false">IF(OR($C12="",S$4&lt;$D12),0,INDEX('RAMP SCHEDULES'!$B$4:$M$13,MATCH($C12,'RAMP SCHEDULES'!$A$4:$A$13,0),MIN(12,S$4-$D12+1))*$E12)</f>
        <v>56000</v>
      </c>
      <c r="T12" s="17" t="n">
        <f aca="false">IF(OR($C12="",T$4&lt;$D12),0,INDEX('RAMP SCHEDULES'!$B$4:$M$13,MATCH($C12,'RAMP SCHEDULES'!$A$4:$A$13,0),MIN(12,T$4-$D12+1))*$E12)</f>
        <v>66666.4</v>
      </c>
      <c r="U12" s="17" t="n">
        <f aca="false">IF(OR($C12="",U$4&lt;$D12),0,INDEX('RAMP SCHEDULES'!$B$4:$M$13,MATCH($C12,'RAMP SCHEDULES'!$A$4:$A$13,0),MIN(12,U$4-$D12+1))*$F12)</f>
        <v>0</v>
      </c>
      <c r="V12" s="17" t="n">
        <f aca="false">IF(OR($C12="",V$4&lt;$D12),0,INDEX('RAMP SCHEDULES'!$B$4:$M$13,MATCH($C12,'RAMP SCHEDULES'!$A$4:$A$13,0),MIN(12,V$4-$D12+1))*$F12)</f>
        <v>0</v>
      </c>
      <c r="W12" s="17" t="n">
        <f aca="false">IF(OR($C12="",W$4&lt;$D12),0,INDEX('RAMP SCHEDULES'!$B$4:$M$13,MATCH($C12,'RAMP SCHEDULES'!$A$4:$A$13,0),MIN(12,W$4-$D12+1))*$F12)</f>
        <v>0</v>
      </c>
      <c r="X12" s="17" t="n">
        <f aca="false">IF(OR($C12="",X$4&lt;$D12),0,INDEX('RAMP SCHEDULES'!$B$4:$M$13,MATCH($C12,'RAMP SCHEDULES'!$A$4:$A$13,0),MIN(12,X$4-$D12+1))*$F12)</f>
        <v>30000</v>
      </c>
      <c r="Y12" s="17" t="n">
        <f aca="false">IF(OR($C12="",Y$4&lt;$D12),0,INDEX('RAMP SCHEDULES'!$B$4:$M$13,MATCH($C12,'RAMP SCHEDULES'!$A$4:$A$13,0),MIN(12,Y$4-$D12+1))*$F12)</f>
        <v>40000</v>
      </c>
      <c r="Z12" s="17" t="n">
        <f aca="false">IF(OR($C12="",Z$4&lt;$D12),0,INDEX('RAMP SCHEDULES'!$B$4:$M$13,MATCH($C12,'RAMP SCHEDULES'!$A$4:$A$13,0),MIN(12,Z$4-$D12+1))*$F12)</f>
        <v>40000</v>
      </c>
      <c r="AA12" s="17" t="n">
        <f aca="false">IF(OR($C12="",AA$4&lt;$D12),0,INDEX('RAMP SCHEDULES'!$B$4:$M$13,MATCH($C12,'RAMP SCHEDULES'!$A$4:$A$13,0),MIN(12,AA$4-$D12+1))*$F12)</f>
        <v>45000</v>
      </c>
      <c r="AB12" s="17" t="n">
        <f aca="false">IF(OR($C12="",AB$4&lt;$D12),0,INDEX('RAMP SCHEDULES'!$B$4:$M$13,MATCH($C12,'RAMP SCHEDULES'!$A$4:$A$13,0),MIN(12,AB$4-$D12+1))*$F12)</f>
        <v>45000</v>
      </c>
      <c r="AC12" s="17" t="n">
        <f aca="false">IF(OR($C12="",AC$4&lt;$D12),0,INDEX('RAMP SCHEDULES'!$B$4:$M$13,MATCH($C12,'RAMP SCHEDULES'!$A$4:$A$13,0),MIN(12,AC$4-$D12+1))*$F12)</f>
        <v>50000</v>
      </c>
      <c r="AD12" s="17" t="n">
        <f aca="false">IF(OR($C12="",AD$4&lt;$D12),0,INDEX('RAMP SCHEDULES'!$B$4:$M$13,MATCH($C12,'RAMP SCHEDULES'!$A$4:$A$13,0),MIN(12,AD$4-$D12+1))*$F12)</f>
        <v>55000</v>
      </c>
      <c r="AE12" s="17" t="n">
        <f aca="false">IF(OR($C12="",AE$4&lt;$D12),0,INDEX('RAMP SCHEDULES'!$B$4:$M$13,MATCH($C12,'RAMP SCHEDULES'!$A$4:$A$13,0),MIN(12,AE$4-$D12+1))*$F12)</f>
        <v>70000</v>
      </c>
      <c r="AF12" s="17" t="n">
        <f aca="false">IF(OR($C12="",AF$4&lt;$D12),0,INDEX('RAMP SCHEDULES'!$B$4:$M$13,MATCH($C12,'RAMP SCHEDULES'!$A$4:$A$13,0),MIN(12,AF$4-$D12+1))*$F12)</f>
        <v>83333</v>
      </c>
      <c r="AG12" s="18" t="n">
        <f aca="false">SUM(I12:T12)</f>
        <v>366666.4</v>
      </c>
      <c r="AH12" s="18" t="n">
        <f aca="false">SUM(U12:AF12)</f>
        <v>458333</v>
      </c>
      <c r="AI12" s="17" t="n">
        <f aca="false">AG12*$G12</f>
        <v>9166.66</v>
      </c>
      <c r="AJ12" s="17" t="n">
        <f aca="false">AH12*$G12</f>
        <v>11458.325</v>
      </c>
    </row>
    <row r="13" customFormat="false" ht="15" hidden="false" customHeight="false" outlineLevel="0" collapsed="false">
      <c r="A13" s="25" t="s">
        <v>135</v>
      </c>
      <c r="B13" s="25" t="s">
        <v>127</v>
      </c>
      <c r="C13" s="25" t="s">
        <v>130</v>
      </c>
      <c r="D13" s="26" t="n">
        <v>3</v>
      </c>
      <c r="E13" s="27" t="n">
        <v>0.8</v>
      </c>
      <c r="F13" s="27" t="n">
        <v>1</v>
      </c>
      <c r="G13" s="28" t="n">
        <v>0.025</v>
      </c>
      <c r="H13" s="17" t="n">
        <f aca="false">IF($C13="",0,12*INDEX('RAMP SCHEDULES'!$B$4:$M$13,MATCH($C13,'RAMP SCHEDULES'!$A$4:$A$13,0),12))</f>
        <v>1000008</v>
      </c>
      <c r="I13" s="17" t="n">
        <f aca="false">IF(OR($C13="",I$4&lt;$D13),0,INDEX('RAMP SCHEDULES'!$B$4:$M$13,MATCH($C13,'RAMP SCHEDULES'!$A$4:$A$13,0),MIN(12,I$4-$D13+1))*$E13)</f>
        <v>0</v>
      </c>
      <c r="J13" s="17" t="n">
        <f aca="false">IF(OR($C13="",J$4&lt;$D13),0,INDEX('RAMP SCHEDULES'!$B$4:$M$13,MATCH($C13,'RAMP SCHEDULES'!$A$4:$A$13,0),MIN(12,J$4-$D13+1))*$E13)</f>
        <v>0</v>
      </c>
      <c r="K13" s="17" t="n">
        <f aca="false">IF(OR($C13="",K$4&lt;$D13),0,INDEX('RAMP SCHEDULES'!$B$4:$M$13,MATCH($C13,'RAMP SCHEDULES'!$A$4:$A$13,0),MIN(12,K$4-$D13+1))*$E13)</f>
        <v>0</v>
      </c>
      <c r="L13" s="17" t="n">
        <f aca="false">IF(OR($C13="",L$4&lt;$D13),0,INDEX('RAMP SCHEDULES'!$B$4:$M$13,MATCH($C13,'RAMP SCHEDULES'!$A$4:$A$13,0),MIN(12,L$4-$D13+1))*$E13)</f>
        <v>24000</v>
      </c>
      <c r="M13" s="17" t="n">
        <f aca="false">IF(OR($C13="",M$4&lt;$D13),0,INDEX('RAMP SCHEDULES'!$B$4:$M$13,MATCH($C13,'RAMP SCHEDULES'!$A$4:$A$13,0),MIN(12,M$4-$D13+1))*$E13)</f>
        <v>32000</v>
      </c>
      <c r="N13" s="17" t="n">
        <f aca="false">IF(OR($C13="",N$4&lt;$D13),0,INDEX('RAMP SCHEDULES'!$B$4:$M$13,MATCH($C13,'RAMP SCHEDULES'!$A$4:$A$13,0),MIN(12,N$4-$D13+1))*$E13)</f>
        <v>32000</v>
      </c>
      <c r="O13" s="17" t="n">
        <f aca="false">IF(OR($C13="",O$4&lt;$D13),0,INDEX('RAMP SCHEDULES'!$B$4:$M$13,MATCH($C13,'RAMP SCHEDULES'!$A$4:$A$13,0),MIN(12,O$4-$D13+1))*$E13)</f>
        <v>36000</v>
      </c>
      <c r="P13" s="17" t="n">
        <f aca="false">IF(OR($C13="",P$4&lt;$D13),0,INDEX('RAMP SCHEDULES'!$B$4:$M$13,MATCH($C13,'RAMP SCHEDULES'!$A$4:$A$13,0),MIN(12,P$4-$D13+1))*$E13)</f>
        <v>36000</v>
      </c>
      <c r="Q13" s="17" t="n">
        <f aca="false">IF(OR($C13="",Q$4&lt;$D13),0,INDEX('RAMP SCHEDULES'!$B$4:$M$13,MATCH($C13,'RAMP SCHEDULES'!$A$4:$A$13,0),MIN(12,Q$4-$D13+1))*$E13)</f>
        <v>40000</v>
      </c>
      <c r="R13" s="17" t="n">
        <f aca="false">IF(OR($C13="",R$4&lt;$D13),0,INDEX('RAMP SCHEDULES'!$B$4:$M$13,MATCH($C13,'RAMP SCHEDULES'!$A$4:$A$13,0),MIN(12,R$4-$D13+1))*$E13)</f>
        <v>44000</v>
      </c>
      <c r="S13" s="17" t="n">
        <f aca="false">IF(OR($C13="",S$4&lt;$D13),0,INDEX('RAMP SCHEDULES'!$B$4:$M$13,MATCH($C13,'RAMP SCHEDULES'!$A$4:$A$13,0),MIN(12,S$4-$D13+1))*$E13)</f>
        <v>56000</v>
      </c>
      <c r="T13" s="17" t="n">
        <f aca="false">IF(OR($C13="",T$4&lt;$D13),0,INDEX('RAMP SCHEDULES'!$B$4:$M$13,MATCH($C13,'RAMP SCHEDULES'!$A$4:$A$13,0),MIN(12,T$4-$D13+1))*$E13)</f>
        <v>66666.4</v>
      </c>
      <c r="U13" s="17" t="n">
        <f aca="false">IF(OR($C13="",U$4&lt;$D13),0,INDEX('RAMP SCHEDULES'!$B$4:$M$13,MATCH($C13,'RAMP SCHEDULES'!$A$4:$A$13,0),MIN(12,U$4-$D13+1))*$F13)</f>
        <v>0</v>
      </c>
      <c r="V13" s="17" t="n">
        <f aca="false">IF(OR($C13="",V$4&lt;$D13),0,INDEX('RAMP SCHEDULES'!$B$4:$M$13,MATCH($C13,'RAMP SCHEDULES'!$A$4:$A$13,0),MIN(12,V$4-$D13+1))*$F13)</f>
        <v>0</v>
      </c>
      <c r="W13" s="17" t="n">
        <f aca="false">IF(OR($C13="",W$4&lt;$D13),0,INDEX('RAMP SCHEDULES'!$B$4:$M$13,MATCH($C13,'RAMP SCHEDULES'!$A$4:$A$13,0),MIN(12,W$4-$D13+1))*$F13)</f>
        <v>0</v>
      </c>
      <c r="X13" s="17" t="n">
        <f aca="false">IF(OR($C13="",X$4&lt;$D13),0,INDEX('RAMP SCHEDULES'!$B$4:$M$13,MATCH($C13,'RAMP SCHEDULES'!$A$4:$A$13,0),MIN(12,X$4-$D13+1))*$F13)</f>
        <v>30000</v>
      </c>
      <c r="Y13" s="17" t="n">
        <f aca="false">IF(OR($C13="",Y$4&lt;$D13),0,INDEX('RAMP SCHEDULES'!$B$4:$M$13,MATCH($C13,'RAMP SCHEDULES'!$A$4:$A$13,0),MIN(12,Y$4-$D13+1))*$F13)</f>
        <v>40000</v>
      </c>
      <c r="Z13" s="17" t="n">
        <f aca="false">IF(OR($C13="",Z$4&lt;$D13),0,INDEX('RAMP SCHEDULES'!$B$4:$M$13,MATCH($C13,'RAMP SCHEDULES'!$A$4:$A$13,0),MIN(12,Z$4-$D13+1))*$F13)</f>
        <v>40000</v>
      </c>
      <c r="AA13" s="17" t="n">
        <f aca="false">IF(OR($C13="",AA$4&lt;$D13),0,INDEX('RAMP SCHEDULES'!$B$4:$M$13,MATCH($C13,'RAMP SCHEDULES'!$A$4:$A$13,0),MIN(12,AA$4-$D13+1))*$F13)</f>
        <v>45000</v>
      </c>
      <c r="AB13" s="17" t="n">
        <f aca="false">IF(OR($C13="",AB$4&lt;$D13),0,INDEX('RAMP SCHEDULES'!$B$4:$M$13,MATCH($C13,'RAMP SCHEDULES'!$A$4:$A$13,0),MIN(12,AB$4-$D13+1))*$F13)</f>
        <v>45000</v>
      </c>
      <c r="AC13" s="17" t="n">
        <f aca="false">IF(OR($C13="",AC$4&lt;$D13),0,INDEX('RAMP SCHEDULES'!$B$4:$M$13,MATCH($C13,'RAMP SCHEDULES'!$A$4:$A$13,0),MIN(12,AC$4-$D13+1))*$F13)</f>
        <v>50000</v>
      </c>
      <c r="AD13" s="17" t="n">
        <f aca="false">IF(OR($C13="",AD$4&lt;$D13),0,INDEX('RAMP SCHEDULES'!$B$4:$M$13,MATCH($C13,'RAMP SCHEDULES'!$A$4:$A$13,0),MIN(12,AD$4-$D13+1))*$F13)</f>
        <v>55000</v>
      </c>
      <c r="AE13" s="17" t="n">
        <f aca="false">IF(OR($C13="",AE$4&lt;$D13),0,INDEX('RAMP SCHEDULES'!$B$4:$M$13,MATCH($C13,'RAMP SCHEDULES'!$A$4:$A$13,0),MIN(12,AE$4-$D13+1))*$F13)</f>
        <v>70000</v>
      </c>
      <c r="AF13" s="17" t="n">
        <f aca="false">IF(OR($C13="",AF$4&lt;$D13),0,INDEX('RAMP SCHEDULES'!$B$4:$M$13,MATCH($C13,'RAMP SCHEDULES'!$A$4:$A$13,0),MIN(12,AF$4-$D13+1))*$F13)</f>
        <v>83333</v>
      </c>
      <c r="AG13" s="18" t="n">
        <f aca="false">SUM(I13:T13)</f>
        <v>366666.4</v>
      </c>
      <c r="AH13" s="18" t="n">
        <f aca="false">SUM(U13:AF13)</f>
        <v>458333</v>
      </c>
      <c r="AI13" s="17" t="n">
        <f aca="false">AG13*$G13</f>
        <v>9166.66</v>
      </c>
      <c r="AJ13" s="17" t="n">
        <f aca="false">AH13*$G13</f>
        <v>11458.325</v>
      </c>
    </row>
    <row r="14" customFormat="false" ht="15" hidden="false" customHeight="false" outlineLevel="0" collapsed="false">
      <c r="A14" s="25" t="s">
        <v>136</v>
      </c>
      <c r="B14" s="25" t="s">
        <v>127</v>
      </c>
      <c r="C14" s="25" t="s">
        <v>130</v>
      </c>
      <c r="D14" s="26" t="n">
        <v>-1</v>
      </c>
      <c r="E14" s="27" t="n">
        <v>0.8</v>
      </c>
      <c r="F14" s="27" t="n">
        <v>1</v>
      </c>
      <c r="G14" s="28" t="n">
        <v>0.025</v>
      </c>
      <c r="H14" s="17" t="n">
        <f aca="false">IF($C14="",0,12*INDEX('RAMP SCHEDULES'!$B$4:$M$13,MATCH($C14,'RAMP SCHEDULES'!$A$4:$A$13,0),12))</f>
        <v>1000008</v>
      </c>
      <c r="I14" s="17" t="n">
        <f aca="false">IF(OR($C14="",I$4&lt;$D14),0,INDEX('RAMP SCHEDULES'!$B$4:$M$13,MATCH($C14,'RAMP SCHEDULES'!$A$4:$A$13,0),MIN(12,I$4-$D14+1))*$E14)</f>
        <v>32000</v>
      </c>
      <c r="J14" s="17" t="n">
        <f aca="false">IF(OR($C14="",J$4&lt;$D14),0,INDEX('RAMP SCHEDULES'!$B$4:$M$13,MATCH($C14,'RAMP SCHEDULES'!$A$4:$A$13,0),MIN(12,J$4-$D14+1))*$E14)</f>
        <v>32000</v>
      </c>
      <c r="K14" s="17" t="n">
        <f aca="false">IF(OR($C14="",K$4&lt;$D14),0,INDEX('RAMP SCHEDULES'!$B$4:$M$13,MATCH($C14,'RAMP SCHEDULES'!$A$4:$A$13,0),MIN(12,K$4-$D14+1))*$E14)</f>
        <v>36000</v>
      </c>
      <c r="L14" s="17" t="n">
        <f aca="false">IF(OR($C14="",L$4&lt;$D14),0,INDEX('RAMP SCHEDULES'!$B$4:$M$13,MATCH($C14,'RAMP SCHEDULES'!$A$4:$A$13,0),MIN(12,L$4-$D14+1))*$E14)</f>
        <v>36000</v>
      </c>
      <c r="M14" s="17" t="n">
        <f aca="false">IF(OR($C14="",M$4&lt;$D14),0,INDEX('RAMP SCHEDULES'!$B$4:$M$13,MATCH($C14,'RAMP SCHEDULES'!$A$4:$A$13,0),MIN(12,M$4-$D14+1))*$E14)</f>
        <v>40000</v>
      </c>
      <c r="N14" s="17" t="n">
        <f aca="false">IF(OR($C14="",N$4&lt;$D14),0,INDEX('RAMP SCHEDULES'!$B$4:$M$13,MATCH($C14,'RAMP SCHEDULES'!$A$4:$A$13,0),MIN(12,N$4-$D14+1))*$E14)</f>
        <v>44000</v>
      </c>
      <c r="O14" s="17" t="n">
        <f aca="false">IF(OR($C14="",O$4&lt;$D14),0,INDEX('RAMP SCHEDULES'!$B$4:$M$13,MATCH($C14,'RAMP SCHEDULES'!$A$4:$A$13,0),MIN(12,O$4-$D14+1))*$E14)</f>
        <v>56000</v>
      </c>
      <c r="P14" s="17" t="n">
        <f aca="false">IF(OR($C14="",P$4&lt;$D14),0,INDEX('RAMP SCHEDULES'!$B$4:$M$13,MATCH($C14,'RAMP SCHEDULES'!$A$4:$A$13,0),MIN(12,P$4-$D14+1))*$E14)</f>
        <v>66666.4</v>
      </c>
      <c r="Q14" s="17" t="n">
        <f aca="false">IF(OR($C14="",Q$4&lt;$D14),0,INDEX('RAMP SCHEDULES'!$B$4:$M$13,MATCH($C14,'RAMP SCHEDULES'!$A$4:$A$13,0),MIN(12,Q$4-$D14+1))*$E14)</f>
        <v>66666.4</v>
      </c>
      <c r="R14" s="17" t="n">
        <f aca="false">IF(OR($C14="",R$4&lt;$D14),0,INDEX('RAMP SCHEDULES'!$B$4:$M$13,MATCH($C14,'RAMP SCHEDULES'!$A$4:$A$13,0),MIN(12,R$4-$D14+1))*$E14)</f>
        <v>66667.2</v>
      </c>
      <c r="S14" s="17" t="n">
        <f aca="false">IF(OR($C14="",S$4&lt;$D14),0,INDEX('RAMP SCHEDULES'!$B$4:$M$13,MATCH($C14,'RAMP SCHEDULES'!$A$4:$A$13,0),MIN(12,S$4-$D14+1))*$E14)</f>
        <v>66667.2</v>
      </c>
      <c r="T14" s="17" t="n">
        <f aca="false">IF(OR($C14="",T$4&lt;$D14),0,INDEX('RAMP SCHEDULES'!$B$4:$M$13,MATCH($C14,'RAMP SCHEDULES'!$A$4:$A$13,0),MIN(12,T$4-$D14+1))*$E14)</f>
        <v>66667.2</v>
      </c>
      <c r="U14" s="17" t="n">
        <f aca="false">IF(OR($C14="",U$4&lt;$D14),0,INDEX('RAMP SCHEDULES'!$B$4:$M$13,MATCH($C14,'RAMP SCHEDULES'!$A$4:$A$13,0),MIN(12,U$4-$D14+1))*$F14)</f>
        <v>40000</v>
      </c>
      <c r="V14" s="17" t="n">
        <f aca="false">IF(OR($C14="",V$4&lt;$D14),0,INDEX('RAMP SCHEDULES'!$B$4:$M$13,MATCH($C14,'RAMP SCHEDULES'!$A$4:$A$13,0),MIN(12,V$4-$D14+1))*$F14)</f>
        <v>40000</v>
      </c>
      <c r="W14" s="17" t="n">
        <f aca="false">IF(OR($C14="",W$4&lt;$D14),0,INDEX('RAMP SCHEDULES'!$B$4:$M$13,MATCH($C14,'RAMP SCHEDULES'!$A$4:$A$13,0),MIN(12,W$4-$D14+1))*$F14)</f>
        <v>45000</v>
      </c>
      <c r="X14" s="17" t="n">
        <f aca="false">IF(OR($C14="",X$4&lt;$D14),0,INDEX('RAMP SCHEDULES'!$B$4:$M$13,MATCH($C14,'RAMP SCHEDULES'!$A$4:$A$13,0),MIN(12,X$4-$D14+1))*$F14)</f>
        <v>45000</v>
      </c>
      <c r="Y14" s="17" t="n">
        <f aca="false">IF(OR($C14="",Y$4&lt;$D14),0,INDEX('RAMP SCHEDULES'!$B$4:$M$13,MATCH($C14,'RAMP SCHEDULES'!$A$4:$A$13,0),MIN(12,Y$4-$D14+1))*$F14)</f>
        <v>50000</v>
      </c>
      <c r="Z14" s="17" t="n">
        <f aca="false">IF(OR($C14="",Z$4&lt;$D14),0,INDEX('RAMP SCHEDULES'!$B$4:$M$13,MATCH($C14,'RAMP SCHEDULES'!$A$4:$A$13,0),MIN(12,Z$4-$D14+1))*$F14)</f>
        <v>55000</v>
      </c>
      <c r="AA14" s="17" t="n">
        <f aca="false">IF(OR($C14="",AA$4&lt;$D14),0,INDEX('RAMP SCHEDULES'!$B$4:$M$13,MATCH($C14,'RAMP SCHEDULES'!$A$4:$A$13,0),MIN(12,AA$4-$D14+1))*$F14)</f>
        <v>70000</v>
      </c>
      <c r="AB14" s="17" t="n">
        <f aca="false">IF(OR($C14="",AB$4&lt;$D14),0,INDEX('RAMP SCHEDULES'!$B$4:$M$13,MATCH($C14,'RAMP SCHEDULES'!$A$4:$A$13,0),MIN(12,AB$4-$D14+1))*$F14)</f>
        <v>83333</v>
      </c>
      <c r="AC14" s="17" t="n">
        <f aca="false">IF(OR($C14="",AC$4&lt;$D14),0,INDEX('RAMP SCHEDULES'!$B$4:$M$13,MATCH($C14,'RAMP SCHEDULES'!$A$4:$A$13,0),MIN(12,AC$4-$D14+1))*$F14)</f>
        <v>83333</v>
      </c>
      <c r="AD14" s="17" t="n">
        <f aca="false">IF(OR($C14="",AD$4&lt;$D14),0,INDEX('RAMP SCHEDULES'!$B$4:$M$13,MATCH($C14,'RAMP SCHEDULES'!$A$4:$A$13,0),MIN(12,AD$4-$D14+1))*$F14)</f>
        <v>83334</v>
      </c>
      <c r="AE14" s="17" t="n">
        <f aca="false">IF(OR($C14="",AE$4&lt;$D14),0,INDEX('RAMP SCHEDULES'!$B$4:$M$13,MATCH($C14,'RAMP SCHEDULES'!$A$4:$A$13,0),MIN(12,AE$4-$D14+1))*$F14)</f>
        <v>83334</v>
      </c>
      <c r="AF14" s="17" t="n">
        <f aca="false">IF(OR($C14="",AF$4&lt;$D14),0,INDEX('RAMP SCHEDULES'!$B$4:$M$13,MATCH($C14,'RAMP SCHEDULES'!$A$4:$A$13,0),MIN(12,AF$4-$D14+1))*$F14)</f>
        <v>83334</v>
      </c>
      <c r="AG14" s="18" t="n">
        <f aca="false">SUM(I14:T14)</f>
        <v>609334.4</v>
      </c>
      <c r="AH14" s="18" t="n">
        <f aca="false">SUM(U14:AF14)</f>
        <v>761668</v>
      </c>
      <c r="AI14" s="17" t="n">
        <f aca="false">AG14*$G14</f>
        <v>15233.36</v>
      </c>
      <c r="AJ14" s="17" t="n">
        <f aca="false">AH14*$G14</f>
        <v>19041.7</v>
      </c>
    </row>
    <row r="15" customFormat="false" ht="15" hidden="false" customHeight="false" outlineLevel="0" collapsed="false">
      <c r="A15" s="25" t="s">
        <v>137</v>
      </c>
      <c r="B15" s="25" t="s">
        <v>127</v>
      </c>
      <c r="C15" s="25" t="s">
        <v>130</v>
      </c>
      <c r="D15" s="26" t="n">
        <v>6</v>
      </c>
      <c r="E15" s="27" t="n">
        <v>0.8</v>
      </c>
      <c r="F15" s="27" t="n">
        <v>1</v>
      </c>
      <c r="G15" s="28" t="n">
        <v>0.025</v>
      </c>
      <c r="H15" s="17" t="n">
        <f aca="false">IF($C15="",0,12*INDEX('RAMP SCHEDULES'!$B$4:$M$13,MATCH($C15,'RAMP SCHEDULES'!$A$4:$A$13,0),12))</f>
        <v>1000008</v>
      </c>
      <c r="I15" s="17" t="n">
        <f aca="false">IF(OR($C15="",I$4&lt;$D15),0,INDEX('RAMP SCHEDULES'!$B$4:$M$13,MATCH($C15,'RAMP SCHEDULES'!$A$4:$A$13,0),MIN(12,I$4-$D15+1))*$E15)</f>
        <v>0</v>
      </c>
      <c r="J15" s="17" t="n">
        <f aca="false">IF(OR($C15="",J$4&lt;$D15),0,INDEX('RAMP SCHEDULES'!$B$4:$M$13,MATCH($C15,'RAMP SCHEDULES'!$A$4:$A$13,0),MIN(12,J$4-$D15+1))*$E15)</f>
        <v>0</v>
      </c>
      <c r="K15" s="17" t="n">
        <f aca="false">IF(OR($C15="",K$4&lt;$D15),0,INDEX('RAMP SCHEDULES'!$B$4:$M$13,MATCH($C15,'RAMP SCHEDULES'!$A$4:$A$13,0),MIN(12,K$4-$D15+1))*$E15)</f>
        <v>0</v>
      </c>
      <c r="L15" s="17" t="n">
        <f aca="false">IF(OR($C15="",L$4&lt;$D15),0,INDEX('RAMP SCHEDULES'!$B$4:$M$13,MATCH($C15,'RAMP SCHEDULES'!$A$4:$A$13,0),MIN(12,L$4-$D15+1))*$E15)</f>
        <v>0</v>
      </c>
      <c r="M15" s="17" t="n">
        <f aca="false">IF(OR($C15="",M$4&lt;$D15),0,INDEX('RAMP SCHEDULES'!$B$4:$M$13,MATCH($C15,'RAMP SCHEDULES'!$A$4:$A$13,0),MIN(12,M$4-$D15+1))*$E15)</f>
        <v>0</v>
      </c>
      <c r="N15" s="17" t="n">
        <f aca="false">IF(OR($C15="",N$4&lt;$D15),0,INDEX('RAMP SCHEDULES'!$B$4:$M$13,MATCH($C15,'RAMP SCHEDULES'!$A$4:$A$13,0),MIN(12,N$4-$D15+1))*$E15)</f>
        <v>0</v>
      </c>
      <c r="O15" s="17" t="n">
        <f aca="false">IF(OR($C15="",O$4&lt;$D15),0,INDEX('RAMP SCHEDULES'!$B$4:$M$13,MATCH($C15,'RAMP SCHEDULES'!$A$4:$A$13,0),MIN(12,O$4-$D15+1))*$E15)</f>
        <v>24000</v>
      </c>
      <c r="P15" s="17" t="n">
        <f aca="false">IF(OR($C15="",P$4&lt;$D15),0,INDEX('RAMP SCHEDULES'!$B$4:$M$13,MATCH($C15,'RAMP SCHEDULES'!$A$4:$A$13,0),MIN(12,P$4-$D15+1))*$E15)</f>
        <v>32000</v>
      </c>
      <c r="Q15" s="17" t="n">
        <f aca="false">IF(OR($C15="",Q$4&lt;$D15),0,INDEX('RAMP SCHEDULES'!$B$4:$M$13,MATCH($C15,'RAMP SCHEDULES'!$A$4:$A$13,0),MIN(12,Q$4-$D15+1))*$E15)</f>
        <v>32000</v>
      </c>
      <c r="R15" s="17" t="n">
        <f aca="false">IF(OR($C15="",R$4&lt;$D15),0,INDEX('RAMP SCHEDULES'!$B$4:$M$13,MATCH($C15,'RAMP SCHEDULES'!$A$4:$A$13,0),MIN(12,R$4-$D15+1))*$E15)</f>
        <v>36000</v>
      </c>
      <c r="S15" s="17" t="n">
        <f aca="false">IF(OR($C15="",S$4&lt;$D15),0,INDEX('RAMP SCHEDULES'!$B$4:$M$13,MATCH($C15,'RAMP SCHEDULES'!$A$4:$A$13,0),MIN(12,S$4-$D15+1))*$E15)</f>
        <v>36000</v>
      </c>
      <c r="T15" s="17" t="n">
        <f aca="false">IF(OR($C15="",T$4&lt;$D15),0,INDEX('RAMP SCHEDULES'!$B$4:$M$13,MATCH($C15,'RAMP SCHEDULES'!$A$4:$A$13,0),MIN(12,T$4-$D15+1))*$E15)</f>
        <v>40000</v>
      </c>
      <c r="U15" s="17" t="n">
        <f aca="false">IF(OR($C15="",U$4&lt;$D15),0,INDEX('RAMP SCHEDULES'!$B$4:$M$13,MATCH($C15,'RAMP SCHEDULES'!$A$4:$A$13,0),MIN(12,U$4-$D15+1))*$F15)</f>
        <v>0</v>
      </c>
      <c r="V15" s="17" t="n">
        <f aca="false">IF(OR($C15="",V$4&lt;$D15),0,INDEX('RAMP SCHEDULES'!$B$4:$M$13,MATCH($C15,'RAMP SCHEDULES'!$A$4:$A$13,0),MIN(12,V$4-$D15+1))*$F15)</f>
        <v>0</v>
      </c>
      <c r="W15" s="17" t="n">
        <f aca="false">IF(OR($C15="",W$4&lt;$D15),0,INDEX('RAMP SCHEDULES'!$B$4:$M$13,MATCH($C15,'RAMP SCHEDULES'!$A$4:$A$13,0),MIN(12,W$4-$D15+1))*$F15)</f>
        <v>0</v>
      </c>
      <c r="X15" s="17" t="n">
        <f aca="false">IF(OR($C15="",X$4&lt;$D15),0,INDEX('RAMP SCHEDULES'!$B$4:$M$13,MATCH($C15,'RAMP SCHEDULES'!$A$4:$A$13,0),MIN(12,X$4-$D15+1))*$F15)</f>
        <v>0</v>
      </c>
      <c r="Y15" s="17" t="n">
        <f aca="false">IF(OR($C15="",Y$4&lt;$D15),0,INDEX('RAMP SCHEDULES'!$B$4:$M$13,MATCH($C15,'RAMP SCHEDULES'!$A$4:$A$13,0),MIN(12,Y$4-$D15+1))*$F15)</f>
        <v>0</v>
      </c>
      <c r="Z15" s="17" t="n">
        <f aca="false">IF(OR($C15="",Z$4&lt;$D15),0,INDEX('RAMP SCHEDULES'!$B$4:$M$13,MATCH($C15,'RAMP SCHEDULES'!$A$4:$A$13,0),MIN(12,Z$4-$D15+1))*$F15)</f>
        <v>0</v>
      </c>
      <c r="AA15" s="17" t="n">
        <f aca="false">IF(OR($C15="",AA$4&lt;$D15),0,INDEX('RAMP SCHEDULES'!$B$4:$M$13,MATCH($C15,'RAMP SCHEDULES'!$A$4:$A$13,0),MIN(12,AA$4-$D15+1))*$F15)</f>
        <v>30000</v>
      </c>
      <c r="AB15" s="17" t="n">
        <f aca="false">IF(OR($C15="",AB$4&lt;$D15),0,INDEX('RAMP SCHEDULES'!$B$4:$M$13,MATCH($C15,'RAMP SCHEDULES'!$A$4:$A$13,0),MIN(12,AB$4-$D15+1))*$F15)</f>
        <v>40000</v>
      </c>
      <c r="AC15" s="17" t="n">
        <f aca="false">IF(OR($C15="",AC$4&lt;$D15),0,INDEX('RAMP SCHEDULES'!$B$4:$M$13,MATCH($C15,'RAMP SCHEDULES'!$A$4:$A$13,0),MIN(12,AC$4-$D15+1))*$F15)</f>
        <v>40000</v>
      </c>
      <c r="AD15" s="17" t="n">
        <f aca="false">IF(OR($C15="",AD$4&lt;$D15),0,INDEX('RAMP SCHEDULES'!$B$4:$M$13,MATCH($C15,'RAMP SCHEDULES'!$A$4:$A$13,0),MIN(12,AD$4-$D15+1))*$F15)</f>
        <v>45000</v>
      </c>
      <c r="AE15" s="17" t="n">
        <f aca="false">IF(OR($C15="",AE$4&lt;$D15),0,INDEX('RAMP SCHEDULES'!$B$4:$M$13,MATCH($C15,'RAMP SCHEDULES'!$A$4:$A$13,0),MIN(12,AE$4-$D15+1))*$F15)</f>
        <v>45000</v>
      </c>
      <c r="AF15" s="17" t="n">
        <f aca="false">IF(OR($C15="",AF$4&lt;$D15),0,INDEX('RAMP SCHEDULES'!$B$4:$M$13,MATCH($C15,'RAMP SCHEDULES'!$A$4:$A$13,0),MIN(12,AF$4-$D15+1))*$F15)</f>
        <v>50000</v>
      </c>
      <c r="AG15" s="18" t="n">
        <f aca="false">SUM(I15:T15)</f>
        <v>200000</v>
      </c>
      <c r="AH15" s="18" t="n">
        <f aca="false">SUM(U15:AF15)</f>
        <v>250000</v>
      </c>
      <c r="AI15" s="17" t="n">
        <f aca="false">AG15*$G15</f>
        <v>5000</v>
      </c>
      <c r="AJ15" s="17" t="n">
        <f aca="false">AH15*$G15</f>
        <v>6250</v>
      </c>
    </row>
    <row r="16" customFormat="false" ht="15" hidden="false" customHeight="false" outlineLevel="0" collapsed="false">
      <c r="A16" s="25" t="s">
        <v>137</v>
      </c>
      <c r="B16" s="25" t="s">
        <v>127</v>
      </c>
      <c r="C16" s="25" t="s">
        <v>130</v>
      </c>
      <c r="D16" s="26" t="n">
        <v>6</v>
      </c>
      <c r="E16" s="27" t="n">
        <v>0.8</v>
      </c>
      <c r="F16" s="27" t="n">
        <v>1</v>
      </c>
      <c r="G16" s="28" t="n">
        <v>0.025</v>
      </c>
      <c r="H16" s="17" t="n">
        <f aca="false">IF($C16="",0,12*INDEX('RAMP SCHEDULES'!$B$4:$M$13,MATCH($C16,'RAMP SCHEDULES'!$A$4:$A$13,0),12))</f>
        <v>1000008</v>
      </c>
      <c r="I16" s="17" t="n">
        <f aca="false">IF(OR($C16="",I$4&lt;$D16),0,INDEX('RAMP SCHEDULES'!$B$4:$M$13,MATCH($C16,'RAMP SCHEDULES'!$A$4:$A$13,0),MIN(12,I$4-$D16+1))*$E16)</f>
        <v>0</v>
      </c>
      <c r="J16" s="17" t="n">
        <f aca="false">IF(OR($C16="",J$4&lt;$D16),0,INDEX('RAMP SCHEDULES'!$B$4:$M$13,MATCH($C16,'RAMP SCHEDULES'!$A$4:$A$13,0),MIN(12,J$4-$D16+1))*$E16)</f>
        <v>0</v>
      </c>
      <c r="K16" s="17" t="n">
        <f aca="false">IF(OR($C16="",K$4&lt;$D16),0,INDEX('RAMP SCHEDULES'!$B$4:$M$13,MATCH($C16,'RAMP SCHEDULES'!$A$4:$A$13,0),MIN(12,K$4-$D16+1))*$E16)</f>
        <v>0</v>
      </c>
      <c r="L16" s="17" t="n">
        <f aca="false">IF(OR($C16="",L$4&lt;$D16),0,INDEX('RAMP SCHEDULES'!$B$4:$M$13,MATCH($C16,'RAMP SCHEDULES'!$A$4:$A$13,0),MIN(12,L$4-$D16+1))*$E16)</f>
        <v>0</v>
      </c>
      <c r="M16" s="17" t="n">
        <f aca="false">IF(OR($C16="",M$4&lt;$D16),0,INDEX('RAMP SCHEDULES'!$B$4:$M$13,MATCH($C16,'RAMP SCHEDULES'!$A$4:$A$13,0),MIN(12,M$4-$D16+1))*$E16)</f>
        <v>0</v>
      </c>
      <c r="N16" s="17" t="n">
        <f aca="false">IF(OR($C16="",N$4&lt;$D16),0,INDEX('RAMP SCHEDULES'!$B$4:$M$13,MATCH($C16,'RAMP SCHEDULES'!$A$4:$A$13,0),MIN(12,N$4-$D16+1))*$E16)</f>
        <v>0</v>
      </c>
      <c r="O16" s="17" t="n">
        <f aca="false">IF(OR($C16="",O$4&lt;$D16),0,INDEX('RAMP SCHEDULES'!$B$4:$M$13,MATCH($C16,'RAMP SCHEDULES'!$A$4:$A$13,0),MIN(12,O$4-$D16+1))*$E16)</f>
        <v>24000</v>
      </c>
      <c r="P16" s="17" t="n">
        <f aca="false">IF(OR($C16="",P$4&lt;$D16),0,INDEX('RAMP SCHEDULES'!$B$4:$M$13,MATCH($C16,'RAMP SCHEDULES'!$A$4:$A$13,0),MIN(12,P$4-$D16+1))*$E16)</f>
        <v>32000</v>
      </c>
      <c r="Q16" s="17" t="n">
        <f aca="false">IF(OR($C16="",Q$4&lt;$D16),0,INDEX('RAMP SCHEDULES'!$B$4:$M$13,MATCH($C16,'RAMP SCHEDULES'!$A$4:$A$13,0),MIN(12,Q$4-$D16+1))*$E16)</f>
        <v>32000</v>
      </c>
      <c r="R16" s="17" t="n">
        <f aca="false">IF(OR($C16="",R$4&lt;$D16),0,INDEX('RAMP SCHEDULES'!$B$4:$M$13,MATCH($C16,'RAMP SCHEDULES'!$A$4:$A$13,0),MIN(12,R$4-$D16+1))*$E16)</f>
        <v>36000</v>
      </c>
      <c r="S16" s="17" t="n">
        <f aca="false">IF(OR($C16="",S$4&lt;$D16),0,INDEX('RAMP SCHEDULES'!$B$4:$M$13,MATCH($C16,'RAMP SCHEDULES'!$A$4:$A$13,0),MIN(12,S$4-$D16+1))*$E16)</f>
        <v>36000</v>
      </c>
      <c r="T16" s="17" t="n">
        <f aca="false">IF(OR($C16="",T$4&lt;$D16),0,INDEX('RAMP SCHEDULES'!$B$4:$M$13,MATCH($C16,'RAMP SCHEDULES'!$A$4:$A$13,0),MIN(12,T$4-$D16+1))*$E16)</f>
        <v>40000</v>
      </c>
      <c r="U16" s="17" t="n">
        <f aca="false">IF(OR($C16="",U$4&lt;$D16),0,INDEX('RAMP SCHEDULES'!$B$4:$M$13,MATCH($C16,'RAMP SCHEDULES'!$A$4:$A$13,0),MIN(12,U$4-$D16+1))*$F16)</f>
        <v>0</v>
      </c>
      <c r="V16" s="17" t="n">
        <f aca="false">IF(OR($C16="",V$4&lt;$D16),0,INDEX('RAMP SCHEDULES'!$B$4:$M$13,MATCH($C16,'RAMP SCHEDULES'!$A$4:$A$13,0),MIN(12,V$4-$D16+1))*$F16)</f>
        <v>0</v>
      </c>
      <c r="W16" s="17" t="n">
        <f aca="false">IF(OR($C16="",W$4&lt;$D16),0,INDEX('RAMP SCHEDULES'!$B$4:$M$13,MATCH($C16,'RAMP SCHEDULES'!$A$4:$A$13,0),MIN(12,W$4-$D16+1))*$F16)</f>
        <v>0</v>
      </c>
      <c r="X16" s="17" t="n">
        <f aca="false">IF(OR($C16="",X$4&lt;$D16),0,INDEX('RAMP SCHEDULES'!$B$4:$M$13,MATCH($C16,'RAMP SCHEDULES'!$A$4:$A$13,0),MIN(12,X$4-$D16+1))*$F16)</f>
        <v>0</v>
      </c>
      <c r="Y16" s="17" t="n">
        <f aca="false">IF(OR($C16="",Y$4&lt;$D16),0,INDEX('RAMP SCHEDULES'!$B$4:$M$13,MATCH($C16,'RAMP SCHEDULES'!$A$4:$A$13,0),MIN(12,Y$4-$D16+1))*$F16)</f>
        <v>0</v>
      </c>
      <c r="Z16" s="17" t="n">
        <f aca="false">IF(OR($C16="",Z$4&lt;$D16),0,INDEX('RAMP SCHEDULES'!$B$4:$M$13,MATCH($C16,'RAMP SCHEDULES'!$A$4:$A$13,0),MIN(12,Z$4-$D16+1))*$F16)</f>
        <v>0</v>
      </c>
      <c r="AA16" s="17" t="n">
        <f aca="false">IF(OR($C16="",AA$4&lt;$D16),0,INDEX('RAMP SCHEDULES'!$B$4:$M$13,MATCH($C16,'RAMP SCHEDULES'!$A$4:$A$13,0),MIN(12,AA$4-$D16+1))*$F16)</f>
        <v>30000</v>
      </c>
      <c r="AB16" s="17" t="n">
        <f aca="false">IF(OR($C16="",AB$4&lt;$D16),0,INDEX('RAMP SCHEDULES'!$B$4:$M$13,MATCH($C16,'RAMP SCHEDULES'!$A$4:$A$13,0),MIN(12,AB$4-$D16+1))*$F16)</f>
        <v>40000</v>
      </c>
      <c r="AC16" s="17" t="n">
        <f aca="false">IF(OR($C16="",AC$4&lt;$D16),0,INDEX('RAMP SCHEDULES'!$B$4:$M$13,MATCH($C16,'RAMP SCHEDULES'!$A$4:$A$13,0),MIN(12,AC$4-$D16+1))*$F16)</f>
        <v>40000</v>
      </c>
      <c r="AD16" s="17" t="n">
        <f aca="false">IF(OR($C16="",AD$4&lt;$D16),0,INDEX('RAMP SCHEDULES'!$B$4:$M$13,MATCH($C16,'RAMP SCHEDULES'!$A$4:$A$13,0),MIN(12,AD$4-$D16+1))*$F16)</f>
        <v>45000</v>
      </c>
      <c r="AE16" s="17" t="n">
        <f aca="false">IF(OR($C16="",AE$4&lt;$D16),0,INDEX('RAMP SCHEDULES'!$B$4:$M$13,MATCH($C16,'RAMP SCHEDULES'!$A$4:$A$13,0),MIN(12,AE$4-$D16+1))*$F16)</f>
        <v>45000</v>
      </c>
      <c r="AF16" s="17" t="n">
        <f aca="false">IF(OR($C16="",AF$4&lt;$D16),0,INDEX('RAMP SCHEDULES'!$B$4:$M$13,MATCH($C16,'RAMP SCHEDULES'!$A$4:$A$13,0),MIN(12,AF$4-$D16+1))*$F16)</f>
        <v>50000</v>
      </c>
      <c r="AG16" s="18" t="n">
        <f aca="false">SUM(I16:T16)</f>
        <v>200000</v>
      </c>
      <c r="AH16" s="18" t="n">
        <f aca="false">SUM(U16:AF16)</f>
        <v>250000</v>
      </c>
      <c r="AI16" s="17" t="n">
        <f aca="false">AG16*$G16</f>
        <v>5000</v>
      </c>
      <c r="AJ16" s="17" t="n">
        <f aca="false">AH16*$G16</f>
        <v>6250</v>
      </c>
    </row>
    <row r="17" customFormat="false" ht="15" hidden="false" customHeight="false" outlineLevel="0" collapsed="false">
      <c r="A17" s="25" t="s">
        <v>138</v>
      </c>
      <c r="B17" s="25" t="s">
        <v>139</v>
      </c>
      <c r="C17" s="25" t="s">
        <v>140</v>
      </c>
      <c r="D17" s="26" t="n">
        <v>-8</v>
      </c>
      <c r="E17" s="27" t="n">
        <v>0.8</v>
      </c>
      <c r="F17" s="27" t="n">
        <v>1</v>
      </c>
      <c r="G17" s="28" t="n">
        <v>0.015</v>
      </c>
      <c r="H17" s="17" t="n">
        <f aca="false">IF($C17="",0,12*INDEX('RAMP SCHEDULES'!$B$4:$M$13,MATCH($C17,'RAMP SCHEDULES'!$A$4:$A$13,0),12))</f>
        <v>1200000</v>
      </c>
      <c r="I17" s="17" t="n">
        <f aca="false">IF(OR($C17="",I$4&lt;$D17),0,INDEX('RAMP SCHEDULES'!$B$4:$M$13,MATCH($C17,'RAMP SCHEDULES'!$A$4:$A$13,0),MIN(12,I$4-$D17+1))*$E17)</f>
        <v>80000</v>
      </c>
      <c r="J17" s="17" t="n">
        <f aca="false">IF(OR($C17="",J$4&lt;$D17),0,INDEX('RAMP SCHEDULES'!$B$4:$M$13,MATCH($C17,'RAMP SCHEDULES'!$A$4:$A$13,0),MIN(12,J$4-$D17+1))*$E17)</f>
        <v>80000</v>
      </c>
      <c r="K17" s="17" t="n">
        <f aca="false">IF(OR($C17="",K$4&lt;$D17),0,INDEX('RAMP SCHEDULES'!$B$4:$M$13,MATCH($C17,'RAMP SCHEDULES'!$A$4:$A$13,0),MIN(12,K$4-$D17+1))*$E17)</f>
        <v>80000</v>
      </c>
      <c r="L17" s="17" t="n">
        <f aca="false">IF(OR($C17="",L$4&lt;$D17),0,INDEX('RAMP SCHEDULES'!$B$4:$M$13,MATCH($C17,'RAMP SCHEDULES'!$A$4:$A$13,0),MIN(12,L$4-$D17+1))*$E17)</f>
        <v>80000</v>
      </c>
      <c r="M17" s="17" t="n">
        <f aca="false">IF(OR($C17="",M$4&lt;$D17),0,INDEX('RAMP SCHEDULES'!$B$4:$M$13,MATCH($C17,'RAMP SCHEDULES'!$A$4:$A$13,0),MIN(12,M$4-$D17+1))*$E17)</f>
        <v>80000</v>
      </c>
      <c r="N17" s="17" t="n">
        <f aca="false">IF(OR($C17="",N$4&lt;$D17),0,INDEX('RAMP SCHEDULES'!$B$4:$M$13,MATCH($C17,'RAMP SCHEDULES'!$A$4:$A$13,0),MIN(12,N$4-$D17+1))*$E17)</f>
        <v>80000</v>
      </c>
      <c r="O17" s="17" t="n">
        <f aca="false">IF(OR($C17="",O$4&lt;$D17),0,INDEX('RAMP SCHEDULES'!$B$4:$M$13,MATCH($C17,'RAMP SCHEDULES'!$A$4:$A$13,0),MIN(12,O$4-$D17+1))*$E17)</f>
        <v>80000</v>
      </c>
      <c r="P17" s="17" t="n">
        <f aca="false">IF(OR($C17="",P$4&lt;$D17),0,INDEX('RAMP SCHEDULES'!$B$4:$M$13,MATCH($C17,'RAMP SCHEDULES'!$A$4:$A$13,0),MIN(12,P$4-$D17+1))*$E17)</f>
        <v>80000</v>
      </c>
      <c r="Q17" s="17" t="n">
        <f aca="false">IF(OR($C17="",Q$4&lt;$D17),0,INDEX('RAMP SCHEDULES'!$B$4:$M$13,MATCH($C17,'RAMP SCHEDULES'!$A$4:$A$13,0),MIN(12,Q$4-$D17+1))*$E17)</f>
        <v>80000</v>
      </c>
      <c r="R17" s="17" t="n">
        <f aca="false">IF(OR($C17="",R$4&lt;$D17),0,INDEX('RAMP SCHEDULES'!$B$4:$M$13,MATCH($C17,'RAMP SCHEDULES'!$A$4:$A$13,0),MIN(12,R$4-$D17+1))*$E17)</f>
        <v>80000</v>
      </c>
      <c r="S17" s="17" t="n">
        <f aca="false">IF(OR($C17="",S$4&lt;$D17),0,INDEX('RAMP SCHEDULES'!$B$4:$M$13,MATCH($C17,'RAMP SCHEDULES'!$A$4:$A$13,0),MIN(12,S$4-$D17+1))*$E17)</f>
        <v>80000</v>
      </c>
      <c r="T17" s="17" t="n">
        <f aca="false">IF(OR($C17="",T$4&lt;$D17),0,INDEX('RAMP SCHEDULES'!$B$4:$M$13,MATCH($C17,'RAMP SCHEDULES'!$A$4:$A$13,0),MIN(12,T$4-$D17+1))*$E17)</f>
        <v>80000</v>
      </c>
      <c r="U17" s="17" t="n">
        <f aca="false">IF(OR($C17="",U$4&lt;$D17),0,INDEX('RAMP SCHEDULES'!$B$4:$M$13,MATCH($C17,'RAMP SCHEDULES'!$A$4:$A$13,0),MIN(12,U$4-$D17+1))*$F17)</f>
        <v>100000</v>
      </c>
      <c r="V17" s="17" t="n">
        <f aca="false">IF(OR($C17="",V$4&lt;$D17),0,INDEX('RAMP SCHEDULES'!$B$4:$M$13,MATCH($C17,'RAMP SCHEDULES'!$A$4:$A$13,0),MIN(12,V$4-$D17+1))*$F17)</f>
        <v>100000</v>
      </c>
      <c r="W17" s="17" t="n">
        <f aca="false">IF(OR($C17="",W$4&lt;$D17),0,INDEX('RAMP SCHEDULES'!$B$4:$M$13,MATCH($C17,'RAMP SCHEDULES'!$A$4:$A$13,0),MIN(12,W$4-$D17+1))*$F17)</f>
        <v>100000</v>
      </c>
      <c r="X17" s="17" t="n">
        <f aca="false">IF(OR($C17="",X$4&lt;$D17),0,INDEX('RAMP SCHEDULES'!$B$4:$M$13,MATCH($C17,'RAMP SCHEDULES'!$A$4:$A$13,0),MIN(12,X$4-$D17+1))*$F17)</f>
        <v>100000</v>
      </c>
      <c r="Y17" s="17" t="n">
        <f aca="false">IF(OR($C17="",Y$4&lt;$D17),0,INDEX('RAMP SCHEDULES'!$B$4:$M$13,MATCH($C17,'RAMP SCHEDULES'!$A$4:$A$13,0),MIN(12,Y$4-$D17+1))*$F17)</f>
        <v>100000</v>
      </c>
      <c r="Z17" s="17" t="n">
        <f aca="false">IF(OR($C17="",Z$4&lt;$D17),0,INDEX('RAMP SCHEDULES'!$B$4:$M$13,MATCH($C17,'RAMP SCHEDULES'!$A$4:$A$13,0),MIN(12,Z$4-$D17+1))*$F17)</f>
        <v>100000</v>
      </c>
      <c r="AA17" s="17" t="n">
        <f aca="false">IF(OR($C17="",AA$4&lt;$D17),0,INDEX('RAMP SCHEDULES'!$B$4:$M$13,MATCH($C17,'RAMP SCHEDULES'!$A$4:$A$13,0),MIN(12,AA$4-$D17+1))*$F17)</f>
        <v>100000</v>
      </c>
      <c r="AB17" s="17" t="n">
        <f aca="false">IF(OR($C17="",AB$4&lt;$D17),0,INDEX('RAMP SCHEDULES'!$B$4:$M$13,MATCH($C17,'RAMP SCHEDULES'!$A$4:$A$13,0),MIN(12,AB$4-$D17+1))*$F17)</f>
        <v>100000</v>
      </c>
      <c r="AC17" s="17" t="n">
        <f aca="false">IF(OR($C17="",AC$4&lt;$D17),0,INDEX('RAMP SCHEDULES'!$B$4:$M$13,MATCH($C17,'RAMP SCHEDULES'!$A$4:$A$13,0),MIN(12,AC$4-$D17+1))*$F17)</f>
        <v>100000</v>
      </c>
      <c r="AD17" s="17" t="n">
        <f aca="false">IF(OR($C17="",AD$4&lt;$D17),0,INDEX('RAMP SCHEDULES'!$B$4:$M$13,MATCH($C17,'RAMP SCHEDULES'!$A$4:$A$13,0),MIN(12,AD$4-$D17+1))*$F17)</f>
        <v>100000</v>
      </c>
      <c r="AE17" s="17" t="n">
        <f aca="false">IF(OR($C17="",AE$4&lt;$D17),0,INDEX('RAMP SCHEDULES'!$B$4:$M$13,MATCH($C17,'RAMP SCHEDULES'!$A$4:$A$13,0),MIN(12,AE$4-$D17+1))*$F17)</f>
        <v>100000</v>
      </c>
      <c r="AF17" s="17" t="n">
        <f aca="false">IF(OR($C17="",AF$4&lt;$D17),0,INDEX('RAMP SCHEDULES'!$B$4:$M$13,MATCH($C17,'RAMP SCHEDULES'!$A$4:$A$13,0),MIN(12,AF$4-$D17+1))*$F17)</f>
        <v>100000</v>
      </c>
      <c r="AG17" s="18" t="n">
        <f aca="false">SUM(I17:T17)</f>
        <v>960000</v>
      </c>
      <c r="AH17" s="18" t="n">
        <f aca="false">SUM(U17:AF17)</f>
        <v>1200000</v>
      </c>
      <c r="AI17" s="17" t="n">
        <f aca="false">AG17*$G17</f>
        <v>14400</v>
      </c>
      <c r="AJ17" s="17" t="n">
        <f aca="false">AH17*$G17</f>
        <v>18000</v>
      </c>
    </row>
    <row r="18" customFormat="false" ht="15" hidden="false" customHeight="false" outlineLevel="0" collapsed="false">
      <c r="A18" s="25" t="s">
        <v>141</v>
      </c>
      <c r="B18" s="25" t="s">
        <v>139</v>
      </c>
      <c r="C18" s="25" t="s">
        <v>140</v>
      </c>
      <c r="D18" s="26" t="n">
        <v>-8</v>
      </c>
      <c r="E18" s="27" t="n">
        <v>0.8</v>
      </c>
      <c r="F18" s="27" t="n">
        <v>1</v>
      </c>
      <c r="G18" s="28" t="n">
        <v>0.015</v>
      </c>
      <c r="H18" s="17" t="n">
        <f aca="false">IF($C18="",0,12*INDEX('RAMP SCHEDULES'!$B$4:$M$13,MATCH($C18,'RAMP SCHEDULES'!$A$4:$A$13,0),12))</f>
        <v>1200000</v>
      </c>
      <c r="I18" s="17" t="n">
        <f aca="false">IF(OR($C18="",I$4&lt;$D18),0,INDEX('RAMP SCHEDULES'!$B$4:$M$13,MATCH($C18,'RAMP SCHEDULES'!$A$4:$A$13,0),MIN(12,I$4-$D18+1))*$E18)</f>
        <v>80000</v>
      </c>
      <c r="J18" s="17" t="n">
        <f aca="false">IF(OR($C18="",J$4&lt;$D18),0,INDEX('RAMP SCHEDULES'!$B$4:$M$13,MATCH($C18,'RAMP SCHEDULES'!$A$4:$A$13,0),MIN(12,J$4-$D18+1))*$E18)</f>
        <v>80000</v>
      </c>
      <c r="K18" s="17" t="n">
        <f aca="false">IF(OR($C18="",K$4&lt;$D18),0,INDEX('RAMP SCHEDULES'!$B$4:$M$13,MATCH($C18,'RAMP SCHEDULES'!$A$4:$A$13,0),MIN(12,K$4-$D18+1))*$E18)</f>
        <v>80000</v>
      </c>
      <c r="L18" s="17" t="n">
        <f aca="false">IF(OR($C18="",L$4&lt;$D18),0,INDEX('RAMP SCHEDULES'!$B$4:$M$13,MATCH($C18,'RAMP SCHEDULES'!$A$4:$A$13,0),MIN(12,L$4-$D18+1))*$E18)</f>
        <v>80000</v>
      </c>
      <c r="M18" s="17" t="n">
        <f aca="false">IF(OR($C18="",M$4&lt;$D18),0,INDEX('RAMP SCHEDULES'!$B$4:$M$13,MATCH($C18,'RAMP SCHEDULES'!$A$4:$A$13,0),MIN(12,M$4-$D18+1))*$E18)</f>
        <v>80000</v>
      </c>
      <c r="N18" s="17" t="n">
        <f aca="false">IF(OR($C18="",N$4&lt;$D18),0,INDEX('RAMP SCHEDULES'!$B$4:$M$13,MATCH($C18,'RAMP SCHEDULES'!$A$4:$A$13,0),MIN(12,N$4-$D18+1))*$E18)</f>
        <v>80000</v>
      </c>
      <c r="O18" s="17" t="n">
        <f aca="false">IF(OR($C18="",O$4&lt;$D18),0,INDEX('RAMP SCHEDULES'!$B$4:$M$13,MATCH($C18,'RAMP SCHEDULES'!$A$4:$A$13,0),MIN(12,O$4-$D18+1))*$E18)</f>
        <v>80000</v>
      </c>
      <c r="P18" s="17" t="n">
        <f aca="false">IF(OR($C18="",P$4&lt;$D18),0,INDEX('RAMP SCHEDULES'!$B$4:$M$13,MATCH($C18,'RAMP SCHEDULES'!$A$4:$A$13,0),MIN(12,P$4-$D18+1))*$E18)</f>
        <v>80000</v>
      </c>
      <c r="Q18" s="17" t="n">
        <f aca="false">IF(OR($C18="",Q$4&lt;$D18),0,INDEX('RAMP SCHEDULES'!$B$4:$M$13,MATCH($C18,'RAMP SCHEDULES'!$A$4:$A$13,0),MIN(12,Q$4-$D18+1))*$E18)</f>
        <v>80000</v>
      </c>
      <c r="R18" s="17" t="n">
        <f aca="false">IF(OR($C18="",R$4&lt;$D18),0,INDEX('RAMP SCHEDULES'!$B$4:$M$13,MATCH($C18,'RAMP SCHEDULES'!$A$4:$A$13,0),MIN(12,R$4-$D18+1))*$E18)</f>
        <v>80000</v>
      </c>
      <c r="S18" s="17" t="n">
        <f aca="false">IF(OR($C18="",S$4&lt;$D18),0,INDEX('RAMP SCHEDULES'!$B$4:$M$13,MATCH($C18,'RAMP SCHEDULES'!$A$4:$A$13,0),MIN(12,S$4-$D18+1))*$E18)</f>
        <v>80000</v>
      </c>
      <c r="T18" s="17" t="n">
        <f aca="false">IF(OR($C18="",T$4&lt;$D18),0,INDEX('RAMP SCHEDULES'!$B$4:$M$13,MATCH($C18,'RAMP SCHEDULES'!$A$4:$A$13,0),MIN(12,T$4-$D18+1))*$E18)</f>
        <v>80000</v>
      </c>
      <c r="U18" s="17" t="n">
        <f aca="false">IF(OR($C18="",U$4&lt;$D18),0,INDEX('RAMP SCHEDULES'!$B$4:$M$13,MATCH($C18,'RAMP SCHEDULES'!$A$4:$A$13,0),MIN(12,U$4-$D18+1))*$F18)</f>
        <v>100000</v>
      </c>
      <c r="V18" s="17" t="n">
        <f aca="false">IF(OR($C18="",V$4&lt;$D18),0,INDEX('RAMP SCHEDULES'!$B$4:$M$13,MATCH($C18,'RAMP SCHEDULES'!$A$4:$A$13,0),MIN(12,V$4-$D18+1))*$F18)</f>
        <v>100000</v>
      </c>
      <c r="W18" s="17" t="n">
        <f aca="false">IF(OR($C18="",W$4&lt;$D18),0,INDEX('RAMP SCHEDULES'!$B$4:$M$13,MATCH($C18,'RAMP SCHEDULES'!$A$4:$A$13,0),MIN(12,W$4-$D18+1))*$F18)</f>
        <v>100000</v>
      </c>
      <c r="X18" s="17" t="n">
        <f aca="false">IF(OR($C18="",X$4&lt;$D18),0,INDEX('RAMP SCHEDULES'!$B$4:$M$13,MATCH($C18,'RAMP SCHEDULES'!$A$4:$A$13,0),MIN(12,X$4-$D18+1))*$F18)</f>
        <v>100000</v>
      </c>
      <c r="Y18" s="17" t="n">
        <f aca="false">IF(OR($C18="",Y$4&lt;$D18),0,INDEX('RAMP SCHEDULES'!$B$4:$M$13,MATCH($C18,'RAMP SCHEDULES'!$A$4:$A$13,0),MIN(12,Y$4-$D18+1))*$F18)</f>
        <v>100000</v>
      </c>
      <c r="Z18" s="17" t="n">
        <f aca="false">IF(OR($C18="",Z$4&lt;$D18),0,INDEX('RAMP SCHEDULES'!$B$4:$M$13,MATCH($C18,'RAMP SCHEDULES'!$A$4:$A$13,0),MIN(12,Z$4-$D18+1))*$F18)</f>
        <v>100000</v>
      </c>
      <c r="AA18" s="17" t="n">
        <f aca="false">IF(OR($C18="",AA$4&lt;$D18),0,INDEX('RAMP SCHEDULES'!$B$4:$M$13,MATCH($C18,'RAMP SCHEDULES'!$A$4:$A$13,0),MIN(12,AA$4-$D18+1))*$F18)</f>
        <v>100000</v>
      </c>
      <c r="AB18" s="17" t="n">
        <f aca="false">IF(OR($C18="",AB$4&lt;$D18),0,INDEX('RAMP SCHEDULES'!$B$4:$M$13,MATCH($C18,'RAMP SCHEDULES'!$A$4:$A$13,0),MIN(12,AB$4-$D18+1))*$F18)</f>
        <v>100000</v>
      </c>
      <c r="AC18" s="17" t="n">
        <f aca="false">IF(OR($C18="",AC$4&lt;$D18),0,INDEX('RAMP SCHEDULES'!$B$4:$M$13,MATCH($C18,'RAMP SCHEDULES'!$A$4:$A$13,0),MIN(12,AC$4-$D18+1))*$F18)</f>
        <v>100000</v>
      </c>
      <c r="AD18" s="17" t="n">
        <f aca="false">IF(OR($C18="",AD$4&lt;$D18),0,INDEX('RAMP SCHEDULES'!$B$4:$M$13,MATCH($C18,'RAMP SCHEDULES'!$A$4:$A$13,0),MIN(12,AD$4-$D18+1))*$F18)</f>
        <v>100000</v>
      </c>
      <c r="AE18" s="17" t="n">
        <f aca="false">IF(OR($C18="",AE$4&lt;$D18),0,INDEX('RAMP SCHEDULES'!$B$4:$M$13,MATCH($C18,'RAMP SCHEDULES'!$A$4:$A$13,0),MIN(12,AE$4-$D18+1))*$F18)</f>
        <v>100000</v>
      </c>
      <c r="AF18" s="17" t="n">
        <f aca="false">IF(OR($C18="",AF$4&lt;$D18),0,INDEX('RAMP SCHEDULES'!$B$4:$M$13,MATCH($C18,'RAMP SCHEDULES'!$A$4:$A$13,0),MIN(12,AF$4-$D18+1))*$F18)</f>
        <v>100000</v>
      </c>
      <c r="AG18" s="18" t="n">
        <f aca="false">SUM(I18:T18)</f>
        <v>960000</v>
      </c>
      <c r="AH18" s="18" t="n">
        <f aca="false">SUM(U18:AF18)</f>
        <v>1200000</v>
      </c>
      <c r="AI18" s="17" t="n">
        <f aca="false">AG18*$G18</f>
        <v>14400</v>
      </c>
      <c r="AJ18" s="17" t="n">
        <f aca="false">AH18*$G18</f>
        <v>18000</v>
      </c>
    </row>
    <row r="19" customFormat="false" ht="15" hidden="false" customHeight="false" outlineLevel="0" collapsed="false">
      <c r="A19" s="25" t="s">
        <v>142</v>
      </c>
      <c r="B19" s="25" t="s">
        <v>139</v>
      </c>
      <c r="C19" s="25" t="s">
        <v>140</v>
      </c>
      <c r="D19" s="26" t="n">
        <v>-8</v>
      </c>
      <c r="E19" s="27" t="n">
        <v>0.8</v>
      </c>
      <c r="F19" s="27" t="n">
        <v>1</v>
      </c>
      <c r="G19" s="28" t="n">
        <v>0.015</v>
      </c>
      <c r="H19" s="17" t="n">
        <f aca="false">IF($C19="",0,12*INDEX('RAMP SCHEDULES'!$B$4:$M$13,MATCH($C19,'RAMP SCHEDULES'!$A$4:$A$13,0),12))</f>
        <v>1200000</v>
      </c>
      <c r="I19" s="17" t="n">
        <f aca="false">IF(OR($C19="",I$4&lt;$D19),0,INDEX('RAMP SCHEDULES'!$B$4:$M$13,MATCH($C19,'RAMP SCHEDULES'!$A$4:$A$13,0),MIN(12,I$4-$D19+1))*$E19)</f>
        <v>80000</v>
      </c>
      <c r="J19" s="17" t="n">
        <f aca="false">IF(OR($C19="",J$4&lt;$D19),0,INDEX('RAMP SCHEDULES'!$B$4:$M$13,MATCH($C19,'RAMP SCHEDULES'!$A$4:$A$13,0),MIN(12,J$4-$D19+1))*$E19)</f>
        <v>80000</v>
      </c>
      <c r="K19" s="17" t="n">
        <f aca="false">IF(OR($C19="",K$4&lt;$D19),0,INDEX('RAMP SCHEDULES'!$B$4:$M$13,MATCH($C19,'RAMP SCHEDULES'!$A$4:$A$13,0),MIN(12,K$4-$D19+1))*$E19)</f>
        <v>80000</v>
      </c>
      <c r="L19" s="17" t="n">
        <f aca="false">IF(OR($C19="",L$4&lt;$D19),0,INDEX('RAMP SCHEDULES'!$B$4:$M$13,MATCH($C19,'RAMP SCHEDULES'!$A$4:$A$13,0),MIN(12,L$4-$D19+1))*$E19)</f>
        <v>80000</v>
      </c>
      <c r="M19" s="17" t="n">
        <f aca="false">IF(OR($C19="",M$4&lt;$D19),0,INDEX('RAMP SCHEDULES'!$B$4:$M$13,MATCH($C19,'RAMP SCHEDULES'!$A$4:$A$13,0),MIN(12,M$4-$D19+1))*$E19)</f>
        <v>80000</v>
      </c>
      <c r="N19" s="17" t="n">
        <f aca="false">IF(OR($C19="",N$4&lt;$D19),0,INDEX('RAMP SCHEDULES'!$B$4:$M$13,MATCH($C19,'RAMP SCHEDULES'!$A$4:$A$13,0),MIN(12,N$4-$D19+1))*$E19)</f>
        <v>80000</v>
      </c>
      <c r="O19" s="17" t="n">
        <f aca="false">IF(OR($C19="",O$4&lt;$D19),0,INDEX('RAMP SCHEDULES'!$B$4:$M$13,MATCH($C19,'RAMP SCHEDULES'!$A$4:$A$13,0),MIN(12,O$4-$D19+1))*$E19)</f>
        <v>80000</v>
      </c>
      <c r="P19" s="17" t="n">
        <f aca="false">IF(OR($C19="",P$4&lt;$D19),0,INDEX('RAMP SCHEDULES'!$B$4:$M$13,MATCH($C19,'RAMP SCHEDULES'!$A$4:$A$13,0),MIN(12,P$4-$D19+1))*$E19)</f>
        <v>80000</v>
      </c>
      <c r="Q19" s="17" t="n">
        <f aca="false">IF(OR($C19="",Q$4&lt;$D19),0,INDEX('RAMP SCHEDULES'!$B$4:$M$13,MATCH($C19,'RAMP SCHEDULES'!$A$4:$A$13,0),MIN(12,Q$4-$D19+1))*$E19)</f>
        <v>80000</v>
      </c>
      <c r="R19" s="17" t="n">
        <f aca="false">IF(OR($C19="",R$4&lt;$D19),0,INDEX('RAMP SCHEDULES'!$B$4:$M$13,MATCH($C19,'RAMP SCHEDULES'!$A$4:$A$13,0),MIN(12,R$4-$D19+1))*$E19)</f>
        <v>80000</v>
      </c>
      <c r="S19" s="17" t="n">
        <f aca="false">IF(OR($C19="",S$4&lt;$D19),0,INDEX('RAMP SCHEDULES'!$B$4:$M$13,MATCH($C19,'RAMP SCHEDULES'!$A$4:$A$13,0),MIN(12,S$4-$D19+1))*$E19)</f>
        <v>80000</v>
      </c>
      <c r="T19" s="17" t="n">
        <f aca="false">IF(OR($C19="",T$4&lt;$D19),0,INDEX('RAMP SCHEDULES'!$B$4:$M$13,MATCH($C19,'RAMP SCHEDULES'!$A$4:$A$13,0),MIN(12,T$4-$D19+1))*$E19)</f>
        <v>80000</v>
      </c>
      <c r="U19" s="17" t="n">
        <f aca="false">IF(OR($C19="",U$4&lt;$D19),0,INDEX('RAMP SCHEDULES'!$B$4:$M$13,MATCH($C19,'RAMP SCHEDULES'!$A$4:$A$13,0),MIN(12,U$4-$D19+1))*$F19)</f>
        <v>100000</v>
      </c>
      <c r="V19" s="17" t="n">
        <f aca="false">IF(OR($C19="",V$4&lt;$D19),0,INDEX('RAMP SCHEDULES'!$B$4:$M$13,MATCH($C19,'RAMP SCHEDULES'!$A$4:$A$13,0),MIN(12,V$4-$D19+1))*$F19)</f>
        <v>100000</v>
      </c>
      <c r="W19" s="17" t="n">
        <f aca="false">IF(OR($C19="",W$4&lt;$D19),0,INDEX('RAMP SCHEDULES'!$B$4:$M$13,MATCH($C19,'RAMP SCHEDULES'!$A$4:$A$13,0),MIN(12,W$4-$D19+1))*$F19)</f>
        <v>100000</v>
      </c>
      <c r="X19" s="17" t="n">
        <f aca="false">IF(OR($C19="",X$4&lt;$D19),0,INDEX('RAMP SCHEDULES'!$B$4:$M$13,MATCH($C19,'RAMP SCHEDULES'!$A$4:$A$13,0),MIN(12,X$4-$D19+1))*$F19)</f>
        <v>100000</v>
      </c>
      <c r="Y19" s="17" t="n">
        <f aca="false">IF(OR($C19="",Y$4&lt;$D19),0,INDEX('RAMP SCHEDULES'!$B$4:$M$13,MATCH($C19,'RAMP SCHEDULES'!$A$4:$A$13,0),MIN(12,Y$4-$D19+1))*$F19)</f>
        <v>100000</v>
      </c>
      <c r="Z19" s="17" t="n">
        <f aca="false">IF(OR($C19="",Z$4&lt;$D19),0,INDEX('RAMP SCHEDULES'!$B$4:$M$13,MATCH($C19,'RAMP SCHEDULES'!$A$4:$A$13,0),MIN(12,Z$4-$D19+1))*$F19)</f>
        <v>100000</v>
      </c>
      <c r="AA19" s="17" t="n">
        <f aca="false">IF(OR($C19="",AA$4&lt;$D19),0,INDEX('RAMP SCHEDULES'!$B$4:$M$13,MATCH($C19,'RAMP SCHEDULES'!$A$4:$A$13,0),MIN(12,AA$4-$D19+1))*$F19)</f>
        <v>100000</v>
      </c>
      <c r="AB19" s="17" t="n">
        <f aca="false">IF(OR($C19="",AB$4&lt;$D19),0,INDEX('RAMP SCHEDULES'!$B$4:$M$13,MATCH($C19,'RAMP SCHEDULES'!$A$4:$A$13,0),MIN(12,AB$4-$D19+1))*$F19)</f>
        <v>100000</v>
      </c>
      <c r="AC19" s="17" t="n">
        <f aca="false">IF(OR($C19="",AC$4&lt;$D19),0,INDEX('RAMP SCHEDULES'!$B$4:$M$13,MATCH($C19,'RAMP SCHEDULES'!$A$4:$A$13,0),MIN(12,AC$4-$D19+1))*$F19)</f>
        <v>100000</v>
      </c>
      <c r="AD19" s="17" t="n">
        <f aca="false">IF(OR($C19="",AD$4&lt;$D19),0,INDEX('RAMP SCHEDULES'!$B$4:$M$13,MATCH($C19,'RAMP SCHEDULES'!$A$4:$A$13,0),MIN(12,AD$4-$D19+1))*$F19)</f>
        <v>100000</v>
      </c>
      <c r="AE19" s="17" t="n">
        <f aca="false">IF(OR($C19="",AE$4&lt;$D19),0,INDEX('RAMP SCHEDULES'!$B$4:$M$13,MATCH($C19,'RAMP SCHEDULES'!$A$4:$A$13,0),MIN(12,AE$4-$D19+1))*$F19)</f>
        <v>100000</v>
      </c>
      <c r="AF19" s="17" t="n">
        <f aca="false">IF(OR($C19="",AF$4&lt;$D19),0,INDEX('RAMP SCHEDULES'!$B$4:$M$13,MATCH($C19,'RAMP SCHEDULES'!$A$4:$A$13,0),MIN(12,AF$4-$D19+1))*$F19)</f>
        <v>100000</v>
      </c>
      <c r="AG19" s="18" t="n">
        <f aca="false">SUM(I19:T19)</f>
        <v>960000</v>
      </c>
      <c r="AH19" s="18" t="n">
        <f aca="false">SUM(U19:AF19)</f>
        <v>1200000</v>
      </c>
      <c r="AI19" s="17" t="n">
        <f aca="false">AG19*$G19</f>
        <v>14400</v>
      </c>
      <c r="AJ19" s="17" t="n">
        <f aca="false">AH19*$G19</f>
        <v>18000</v>
      </c>
    </row>
    <row r="20" customFormat="false" ht="15" hidden="false" customHeight="false" outlineLevel="0" collapsed="false">
      <c r="A20" s="25" t="s">
        <v>143</v>
      </c>
      <c r="B20" s="25" t="s">
        <v>143</v>
      </c>
      <c r="C20" s="25" t="s">
        <v>143</v>
      </c>
      <c r="D20" s="26" t="n">
        <v>-8</v>
      </c>
      <c r="E20" s="27" t="n">
        <v>0.8</v>
      </c>
      <c r="F20" s="27" t="n">
        <v>1</v>
      </c>
      <c r="G20" s="28" t="n">
        <v>0</v>
      </c>
      <c r="H20" s="17" t="n">
        <f aca="false">IF($C20="",0,12*INDEX('RAMP SCHEDULES'!$B$4:$M$13,MATCH($C20,'RAMP SCHEDULES'!$A$4:$A$13,0),12))</f>
        <v>528000</v>
      </c>
      <c r="I20" s="17" t="n">
        <f aca="false">IF(OR($C20="",I$4&lt;$D20),0,INDEX('RAMP SCHEDULES'!$B$4:$M$13,MATCH($C20,'RAMP SCHEDULES'!$A$4:$A$13,0),MIN(12,I$4-$D20+1))*$E20)</f>
        <v>35200</v>
      </c>
      <c r="J20" s="17" t="n">
        <f aca="false">IF(OR($C20="",J$4&lt;$D20),0,INDEX('RAMP SCHEDULES'!$B$4:$M$13,MATCH($C20,'RAMP SCHEDULES'!$A$4:$A$13,0),MIN(12,J$4-$D20+1))*$E20)</f>
        <v>35200</v>
      </c>
      <c r="K20" s="17" t="n">
        <f aca="false">IF(OR($C20="",K$4&lt;$D20),0,INDEX('RAMP SCHEDULES'!$B$4:$M$13,MATCH($C20,'RAMP SCHEDULES'!$A$4:$A$13,0),MIN(12,K$4-$D20+1))*$E20)</f>
        <v>35200</v>
      </c>
      <c r="L20" s="17" t="n">
        <f aca="false">IF(OR($C20="",L$4&lt;$D20),0,INDEX('RAMP SCHEDULES'!$B$4:$M$13,MATCH($C20,'RAMP SCHEDULES'!$A$4:$A$13,0),MIN(12,L$4-$D20+1))*$E20)</f>
        <v>35200</v>
      </c>
      <c r="M20" s="17" t="n">
        <f aca="false">IF(OR($C20="",M$4&lt;$D20),0,INDEX('RAMP SCHEDULES'!$B$4:$M$13,MATCH($C20,'RAMP SCHEDULES'!$A$4:$A$13,0),MIN(12,M$4-$D20+1))*$E20)</f>
        <v>35200</v>
      </c>
      <c r="N20" s="17" t="n">
        <f aca="false">IF(OR($C20="",N$4&lt;$D20),0,INDEX('RAMP SCHEDULES'!$B$4:$M$13,MATCH($C20,'RAMP SCHEDULES'!$A$4:$A$13,0),MIN(12,N$4-$D20+1))*$E20)</f>
        <v>35200</v>
      </c>
      <c r="O20" s="17" t="n">
        <f aca="false">IF(OR($C20="",O$4&lt;$D20),0,INDEX('RAMP SCHEDULES'!$B$4:$M$13,MATCH($C20,'RAMP SCHEDULES'!$A$4:$A$13,0),MIN(12,O$4-$D20+1))*$E20)</f>
        <v>35200</v>
      </c>
      <c r="P20" s="17" t="n">
        <f aca="false">IF(OR($C20="",P$4&lt;$D20),0,INDEX('RAMP SCHEDULES'!$B$4:$M$13,MATCH($C20,'RAMP SCHEDULES'!$A$4:$A$13,0),MIN(12,P$4-$D20+1))*$E20)</f>
        <v>35200</v>
      </c>
      <c r="Q20" s="17" t="n">
        <f aca="false">IF(OR($C20="",Q$4&lt;$D20),0,INDEX('RAMP SCHEDULES'!$B$4:$M$13,MATCH($C20,'RAMP SCHEDULES'!$A$4:$A$13,0),MIN(12,Q$4-$D20+1))*$E20)</f>
        <v>35200</v>
      </c>
      <c r="R20" s="17" t="n">
        <f aca="false">IF(OR($C20="",R$4&lt;$D20),0,INDEX('RAMP SCHEDULES'!$B$4:$M$13,MATCH($C20,'RAMP SCHEDULES'!$A$4:$A$13,0),MIN(12,R$4-$D20+1))*$E20)</f>
        <v>35200</v>
      </c>
      <c r="S20" s="17" t="n">
        <f aca="false">IF(OR($C20="",S$4&lt;$D20),0,INDEX('RAMP SCHEDULES'!$B$4:$M$13,MATCH($C20,'RAMP SCHEDULES'!$A$4:$A$13,0),MIN(12,S$4-$D20+1))*$E20)</f>
        <v>35200</v>
      </c>
      <c r="T20" s="17" t="n">
        <f aca="false">IF(OR($C20="",T$4&lt;$D20),0,INDEX('RAMP SCHEDULES'!$B$4:$M$13,MATCH($C20,'RAMP SCHEDULES'!$A$4:$A$13,0),MIN(12,T$4-$D20+1))*$E20)</f>
        <v>35200</v>
      </c>
      <c r="U20" s="17" t="n">
        <f aca="false">IF(OR($C20="",U$4&lt;$D20),0,INDEX('RAMP SCHEDULES'!$B$4:$M$13,MATCH($C20,'RAMP SCHEDULES'!$A$4:$A$13,0),MIN(12,U$4-$D20+1))*$F20)</f>
        <v>44000</v>
      </c>
      <c r="V20" s="17" t="n">
        <f aca="false">IF(OR($C20="",V$4&lt;$D20),0,INDEX('RAMP SCHEDULES'!$B$4:$M$13,MATCH($C20,'RAMP SCHEDULES'!$A$4:$A$13,0),MIN(12,V$4-$D20+1))*$F20)</f>
        <v>44000</v>
      </c>
      <c r="W20" s="17" t="n">
        <f aca="false">IF(OR($C20="",W$4&lt;$D20),0,INDEX('RAMP SCHEDULES'!$B$4:$M$13,MATCH($C20,'RAMP SCHEDULES'!$A$4:$A$13,0),MIN(12,W$4-$D20+1))*$F20)</f>
        <v>44000</v>
      </c>
      <c r="X20" s="17" t="n">
        <f aca="false">IF(OR($C20="",X$4&lt;$D20),0,INDEX('RAMP SCHEDULES'!$B$4:$M$13,MATCH($C20,'RAMP SCHEDULES'!$A$4:$A$13,0),MIN(12,X$4-$D20+1))*$F20)</f>
        <v>44000</v>
      </c>
      <c r="Y20" s="17" t="n">
        <f aca="false">IF(OR($C20="",Y$4&lt;$D20),0,INDEX('RAMP SCHEDULES'!$B$4:$M$13,MATCH($C20,'RAMP SCHEDULES'!$A$4:$A$13,0),MIN(12,Y$4-$D20+1))*$F20)</f>
        <v>44000</v>
      </c>
      <c r="Z20" s="17" t="n">
        <f aca="false">IF(OR($C20="",Z$4&lt;$D20),0,INDEX('RAMP SCHEDULES'!$B$4:$M$13,MATCH($C20,'RAMP SCHEDULES'!$A$4:$A$13,0),MIN(12,Z$4-$D20+1))*$F20)</f>
        <v>44000</v>
      </c>
      <c r="AA20" s="17" t="n">
        <f aca="false">IF(OR($C20="",AA$4&lt;$D20),0,INDEX('RAMP SCHEDULES'!$B$4:$M$13,MATCH($C20,'RAMP SCHEDULES'!$A$4:$A$13,0),MIN(12,AA$4-$D20+1))*$F20)</f>
        <v>44000</v>
      </c>
      <c r="AB20" s="17" t="n">
        <f aca="false">IF(OR($C20="",AB$4&lt;$D20),0,INDEX('RAMP SCHEDULES'!$B$4:$M$13,MATCH($C20,'RAMP SCHEDULES'!$A$4:$A$13,0),MIN(12,AB$4-$D20+1))*$F20)</f>
        <v>44000</v>
      </c>
      <c r="AC20" s="17" t="n">
        <f aca="false">IF(OR($C20="",AC$4&lt;$D20),0,INDEX('RAMP SCHEDULES'!$B$4:$M$13,MATCH($C20,'RAMP SCHEDULES'!$A$4:$A$13,0),MIN(12,AC$4-$D20+1))*$F20)</f>
        <v>44000</v>
      </c>
      <c r="AD20" s="17" t="n">
        <f aca="false">IF(OR($C20="",AD$4&lt;$D20),0,INDEX('RAMP SCHEDULES'!$B$4:$M$13,MATCH($C20,'RAMP SCHEDULES'!$A$4:$A$13,0),MIN(12,AD$4-$D20+1))*$F20)</f>
        <v>44000</v>
      </c>
      <c r="AE20" s="17" t="n">
        <f aca="false">IF(OR($C20="",AE$4&lt;$D20),0,INDEX('RAMP SCHEDULES'!$B$4:$M$13,MATCH($C20,'RAMP SCHEDULES'!$A$4:$A$13,0),MIN(12,AE$4-$D20+1))*$F20)</f>
        <v>44000</v>
      </c>
      <c r="AF20" s="17" t="n">
        <f aca="false">IF(OR($C20="",AF$4&lt;$D20),0,INDEX('RAMP SCHEDULES'!$B$4:$M$13,MATCH($C20,'RAMP SCHEDULES'!$A$4:$A$13,0),MIN(12,AF$4-$D20+1))*$F20)</f>
        <v>44000</v>
      </c>
      <c r="AG20" s="18" t="n">
        <f aca="false">SUM(I20:T20)</f>
        <v>422400</v>
      </c>
      <c r="AH20" s="18" t="n">
        <f aca="false">SUM(U20:AF20)</f>
        <v>528000</v>
      </c>
      <c r="AI20" s="17" t="n">
        <f aca="false">AG20*$G20</f>
        <v>0</v>
      </c>
      <c r="AJ20" s="17" t="n">
        <f aca="false">AH20*$G20</f>
        <v>0</v>
      </c>
    </row>
    <row r="21" customFormat="false" ht="15" hidden="false" customHeight="false" outlineLevel="0" collapsed="false">
      <c r="A21" s="25" t="s">
        <v>144</v>
      </c>
      <c r="B21" s="25" t="s">
        <v>144</v>
      </c>
      <c r="C21" s="25" t="s">
        <v>144</v>
      </c>
      <c r="D21" s="26" t="n">
        <v>-8</v>
      </c>
      <c r="E21" s="27" t="n">
        <v>0.8</v>
      </c>
      <c r="F21" s="27" t="n">
        <v>1</v>
      </c>
      <c r="G21" s="28" t="n">
        <v>0</v>
      </c>
      <c r="H21" s="17" t="n">
        <f aca="false">IF($C21="",0,12*INDEX('RAMP SCHEDULES'!$B$4:$M$13,MATCH($C21,'RAMP SCHEDULES'!$A$4:$A$13,0),12))</f>
        <v>480000</v>
      </c>
      <c r="I21" s="17" t="n">
        <f aca="false">IF(OR($C21="",I$4&lt;$D21),0,INDEX('RAMP SCHEDULES'!$B$4:$M$13,MATCH($C21,'RAMP SCHEDULES'!$A$4:$A$13,0),MIN(12,I$4-$D21+1))*$E21)</f>
        <v>32000</v>
      </c>
      <c r="J21" s="17" t="n">
        <f aca="false">IF(OR($C21="",J$4&lt;$D21),0,INDEX('RAMP SCHEDULES'!$B$4:$M$13,MATCH($C21,'RAMP SCHEDULES'!$A$4:$A$13,0),MIN(12,J$4-$D21+1))*$E21)</f>
        <v>32000</v>
      </c>
      <c r="K21" s="17" t="n">
        <f aca="false">IF(OR($C21="",K$4&lt;$D21),0,INDEX('RAMP SCHEDULES'!$B$4:$M$13,MATCH($C21,'RAMP SCHEDULES'!$A$4:$A$13,0),MIN(12,K$4-$D21+1))*$E21)</f>
        <v>32000</v>
      </c>
      <c r="L21" s="17" t="n">
        <f aca="false">IF(OR($C21="",L$4&lt;$D21),0,INDEX('RAMP SCHEDULES'!$B$4:$M$13,MATCH($C21,'RAMP SCHEDULES'!$A$4:$A$13,0),MIN(12,L$4-$D21+1))*$E21)</f>
        <v>32000</v>
      </c>
      <c r="M21" s="17" t="n">
        <f aca="false">IF(OR($C21="",M$4&lt;$D21),0,INDEX('RAMP SCHEDULES'!$B$4:$M$13,MATCH($C21,'RAMP SCHEDULES'!$A$4:$A$13,0),MIN(12,M$4-$D21+1))*$E21)</f>
        <v>32000</v>
      </c>
      <c r="N21" s="17" t="n">
        <f aca="false">IF(OR($C21="",N$4&lt;$D21),0,INDEX('RAMP SCHEDULES'!$B$4:$M$13,MATCH($C21,'RAMP SCHEDULES'!$A$4:$A$13,0),MIN(12,N$4-$D21+1))*$E21)</f>
        <v>32000</v>
      </c>
      <c r="O21" s="17" t="n">
        <f aca="false">IF(OR($C21="",O$4&lt;$D21),0,INDEX('RAMP SCHEDULES'!$B$4:$M$13,MATCH($C21,'RAMP SCHEDULES'!$A$4:$A$13,0),MIN(12,O$4-$D21+1))*$E21)</f>
        <v>32000</v>
      </c>
      <c r="P21" s="17" t="n">
        <f aca="false">IF(OR($C21="",P$4&lt;$D21),0,INDEX('RAMP SCHEDULES'!$B$4:$M$13,MATCH($C21,'RAMP SCHEDULES'!$A$4:$A$13,0),MIN(12,P$4-$D21+1))*$E21)</f>
        <v>32000</v>
      </c>
      <c r="Q21" s="17" t="n">
        <f aca="false">IF(OR($C21="",Q$4&lt;$D21),0,INDEX('RAMP SCHEDULES'!$B$4:$M$13,MATCH($C21,'RAMP SCHEDULES'!$A$4:$A$13,0),MIN(12,Q$4-$D21+1))*$E21)</f>
        <v>32000</v>
      </c>
      <c r="R21" s="17" t="n">
        <f aca="false">IF(OR($C21="",R$4&lt;$D21),0,INDEX('RAMP SCHEDULES'!$B$4:$M$13,MATCH($C21,'RAMP SCHEDULES'!$A$4:$A$13,0),MIN(12,R$4-$D21+1))*$E21)</f>
        <v>32000</v>
      </c>
      <c r="S21" s="17" t="n">
        <f aca="false">IF(OR($C21="",S$4&lt;$D21),0,INDEX('RAMP SCHEDULES'!$B$4:$M$13,MATCH($C21,'RAMP SCHEDULES'!$A$4:$A$13,0),MIN(12,S$4-$D21+1))*$E21)</f>
        <v>32000</v>
      </c>
      <c r="T21" s="17" t="n">
        <f aca="false">IF(OR($C21="",T$4&lt;$D21),0,INDEX('RAMP SCHEDULES'!$B$4:$M$13,MATCH($C21,'RAMP SCHEDULES'!$A$4:$A$13,0),MIN(12,T$4-$D21+1))*$E21)</f>
        <v>32000</v>
      </c>
      <c r="U21" s="17" t="n">
        <f aca="false">IF(OR($C21="",U$4&lt;$D21),0,INDEX('RAMP SCHEDULES'!$B$4:$M$13,MATCH($C21,'RAMP SCHEDULES'!$A$4:$A$13,0),MIN(12,U$4-$D21+1))*$F21)</f>
        <v>40000</v>
      </c>
      <c r="V21" s="17" t="n">
        <f aca="false">IF(OR($C21="",V$4&lt;$D21),0,INDEX('RAMP SCHEDULES'!$B$4:$M$13,MATCH($C21,'RAMP SCHEDULES'!$A$4:$A$13,0),MIN(12,V$4-$D21+1))*$F21)</f>
        <v>40000</v>
      </c>
      <c r="W21" s="17" t="n">
        <f aca="false">IF(OR($C21="",W$4&lt;$D21),0,INDEX('RAMP SCHEDULES'!$B$4:$M$13,MATCH($C21,'RAMP SCHEDULES'!$A$4:$A$13,0),MIN(12,W$4-$D21+1))*$F21)</f>
        <v>40000</v>
      </c>
      <c r="X21" s="17" t="n">
        <f aca="false">IF(OR($C21="",X$4&lt;$D21),0,INDEX('RAMP SCHEDULES'!$B$4:$M$13,MATCH($C21,'RAMP SCHEDULES'!$A$4:$A$13,0),MIN(12,X$4-$D21+1))*$F21)</f>
        <v>40000</v>
      </c>
      <c r="Y21" s="17" t="n">
        <f aca="false">IF(OR($C21="",Y$4&lt;$D21),0,INDEX('RAMP SCHEDULES'!$B$4:$M$13,MATCH($C21,'RAMP SCHEDULES'!$A$4:$A$13,0),MIN(12,Y$4-$D21+1))*$F21)</f>
        <v>40000</v>
      </c>
      <c r="Z21" s="17" t="n">
        <f aca="false">IF(OR($C21="",Z$4&lt;$D21),0,INDEX('RAMP SCHEDULES'!$B$4:$M$13,MATCH($C21,'RAMP SCHEDULES'!$A$4:$A$13,0),MIN(12,Z$4-$D21+1))*$F21)</f>
        <v>40000</v>
      </c>
      <c r="AA21" s="17" t="n">
        <f aca="false">IF(OR($C21="",AA$4&lt;$D21),0,INDEX('RAMP SCHEDULES'!$B$4:$M$13,MATCH($C21,'RAMP SCHEDULES'!$A$4:$A$13,0),MIN(12,AA$4-$D21+1))*$F21)</f>
        <v>40000</v>
      </c>
      <c r="AB21" s="17" t="n">
        <f aca="false">IF(OR($C21="",AB$4&lt;$D21),0,INDEX('RAMP SCHEDULES'!$B$4:$M$13,MATCH($C21,'RAMP SCHEDULES'!$A$4:$A$13,0),MIN(12,AB$4-$D21+1))*$F21)</f>
        <v>40000</v>
      </c>
      <c r="AC21" s="17" t="n">
        <f aca="false">IF(OR($C21="",AC$4&lt;$D21),0,INDEX('RAMP SCHEDULES'!$B$4:$M$13,MATCH($C21,'RAMP SCHEDULES'!$A$4:$A$13,0),MIN(12,AC$4-$D21+1))*$F21)</f>
        <v>40000</v>
      </c>
      <c r="AD21" s="17" t="n">
        <f aca="false">IF(OR($C21="",AD$4&lt;$D21),0,INDEX('RAMP SCHEDULES'!$B$4:$M$13,MATCH($C21,'RAMP SCHEDULES'!$A$4:$A$13,0),MIN(12,AD$4-$D21+1))*$F21)</f>
        <v>40000</v>
      </c>
      <c r="AE21" s="17" t="n">
        <f aca="false">IF(OR($C21="",AE$4&lt;$D21),0,INDEX('RAMP SCHEDULES'!$B$4:$M$13,MATCH($C21,'RAMP SCHEDULES'!$A$4:$A$13,0),MIN(12,AE$4-$D21+1))*$F21)</f>
        <v>40000</v>
      </c>
      <c r="AF21" s="17" t="n">
        <f aca="false">IF(OR($C21="",AF$4&lt;$D21),0,INDEX('RAMP SCHEDULES'!$B$4:$M$13,MATCH($C21,'RAMP SCHEDULES'!$A$4:$A$13,0),MIN(12,AF$4-$D21+1))*$F21)</f>
        <v>40000</v>
      </c>
      <c r="AG21" s="18" t="n">
        <f aca="false">SUM(I21:T21)</f>
        <v>384000</v>
      </c>
      <c r="AH21" s="18" t="n">
        <f aca="false">SUM(U21:AF21)</f>
        <v>480000</v>
      </c>
      <c r="AI21" s="17" t="n">
        <f aca="false">AG21*$G21</f>
        <v>0</v>
      </c>
      <c r="AJ21" s="17" t="n">
        <f aca="false">AH21*$G21</f>
        <v>0</v>
      </c>
    </row>
    <row r="22" customFormat="false" ht="15" hidden="false" customHeight="false" outlineLevel="0" collapsed="false">
      <c r="A22" s="25"/>
      <c r="B22" s="25"/>
      <c r="C22" s="25"/>
      <c r="D22" s="26"/>
      <c r="E22" s="27"/>
      <c r="F22" s="27"/>
      <c r="G22" s="28"/>
      <c r="H22" s="17" t="n">
        <f aca="false">IF($C22="",0,12*INDEX('RAMP SCHEDULES'!$B$4:$M$13,MATCH($C22,'RAMP SCHEDULES'!$A$4:$A$13,0),12))</f>
        <v>0</v>
      </c>
      <c r="I22" s="17" t="n">
        <f aca="false">IF(OR($C22="",I$4&lt;$D22),0,INDEX('RAMP SCHEDULES'!$B$4:$M$13,MATCH($C22,'RAMP SCHEDULES'!$A$4:$A$13,0),MIN(12,I$4-$D22+1))*$E22)</f>
        <v>0</v>
      </c>
      <c r="J22" s="17" t="n">
        <f aca="false">IF(OR($C22="",J$4&lt;$D22),0,INDEX('RAMP SCHEDULES'!$B$4:$M$13,MATCH($C22,'RAMP SCHEDULES'!$A$4:$A$13,0),MIN(12,J$4-$D22+1))*$E22)</f>
        <v>0</v>
      </c>
      <c r="K22" s="17" t="n">
        <f aca="false">IF(OR($C22="",K$4&lt;$D22),0,INDEX('RAMP SCHEDULES'!$B$4:$M$13,MATCH($C22,'RAMP SCHEDULES'!$A$4:$A$13,0),MIN(12,K$4-$D22+1))*$E22)</f>
        <v>0</v>
      </c>
      <c r="L22" s="17" t="n">
        <f aca="false">IF(OR($C22="",L$4&lt;$D22),0,INDEX('RAMP SCHEDULES'!$B$4:$M$13,MATCH($C22,'RAMP SCHEDULES'!$A$4:$A$13,0),MIN(12,L$4-$D22+1))*$E22)</f>
        <v>0</v>
      </c>
      <c r="M22" s="17" t="n">
        <f aca="false">IF(OR($C22="",M$4&lt;$D22),0,INDEX('RAMP SCHEDULES'!$B$4:$M$13,MATCH($C22,'RAMP SCHEDULES'!$A$4:$A$13,0),MIN(12,M$4-$D22+1))*$E22)</f>
        <v>0</v>
      </c>
      <c r="N22" s="17" t="n">
        <f aca="false">IF(OR($C22="",N$4&lt;$D22),0,INDEX('RAMP SCHEDULES'!$B$4:$M$13,MATCH($C22,'RAMP SCHEDULES'!$A$4:$A$13,0),MIN(12,N$4-$D22+1))*$E22)</f>
        <v>0</v>
      </c>
      <c r="O22" s="17" t="n">
        <f aca="false">IF(OR($C22="",O$4&lt;$D22),0,INDEX('RAMP SCHEDULES'!$B$4:$M$13,MATCH($C22,'RAMP SCHEDULES'!$A$4:$A$13,0),MIN(12,O$4-$D22+1))*$E22)</f>
        <v>0</v>
      </c>
      <c r="P22" s="17" t="n">
        <f aca="false">IF(OR($C22="",P$4&lt;$D22),0,INDEX('RAMP SCHEDULES'!$B$4:$M$13,MATCH($C22,'RAMP SCHEDULES'!$A$4:$A$13,0),MIN(12,P$4-$D22+1))*$E22)</f>
        <v>0</v>
      </c>
      <c r="Q22" s="17" t="n">
        <f aca="false">IF(OR($C22="",Q$4&lt;$D22),0,INDEX('RAMP SCHEDULES'!$B$4:$M$13,MATCH($C22,'RAMP SCHEDULES'!$A$4:$A$13,0),MIN(12,Q$4-$D22+1))*$E22)</f>
        <v>0</v>
      </c>
      <c r="R22" s="17" t="n">
        <f aca="false">IF(OR($C22="",R$4&lt;$D22),0,INDEX('RAMP SCHEDULES'!$B$4:$M$13,MATCH($C22,'RAMP SCHEDULES'!$A$4:$A$13,0),MIN(12,R$4-$D22+1))*$E22)</f>
        <v>0</v>
      </c>
      <c r="S22" s="17" t="n">
        <f aca="false">IF(OR($C22="",S$4&lt;$D22),0,INDEX('RAMP SCHEDULES'!$B$4:$M$13,MATCH($C22,'RAMP SCHEDULES'!$A$4:$A$13,0),MIN(12,S$4-$D22+1))*$E22)</f>
        <v>0</v>
      </c>
      <c r="T22" s="17" t="n">
        <f aca="false">IF(OR($C22="",T$4&lt;$D22),0,INDEX('RAMP SCHEDULES'!$B$4:$M$13,MATCH($C22,'RAMP SCHEDULES'!$A$4:$A$13,0),MIN(12,T$4-$D22+1))*$E22)</f>
        <v>0</v>
      </c>
      <c r="U22" s="17" t="n">
        <f aca="false">IF(OR($C22="",U$4&lt;$D22),0,INDEX('RAMP SCHEDULES'!$B$4:$M$13,MATCH($C22,'RAMP SCHEDULES'!$A$4:$A$13,0),MIN(12,U$4-$D22+1))*$F22)</f>
        <v>0</v>
      </c>
      <c r="V22" s="17" t="n">
        <f aca="false">IF(OR($C22="",V$4&lt;$D22),0,INDEX('RAMP SCHEDULES'!$B$4:$M$13,MATCH($C22,'RAMP SCHEDULES'!$A$4:$A$13,0),MIN(12,V$4-$D22+1))*$F22)</f>
        <v>0</v>
      </c>
      <c r="W22" s="17" t="n">
        <f aca="false">IF(OR($C22="",W$4&lt;$D22),0,INDEX('RAMP SCHEDULES'!$B$4:$M$13,MATCH($C22,'RAMP SCHEDULES'!$A$4:$A$13,0),MIN(12,W$4-$D22+1))*$F22)</f>
        <v>0</v>
      </c>
      <c r="X22" s="17" t="n">
        <f aca="false">IF(OR($C22="",X$4&lt;$D22),0,INDEX('RAMP SCHEDULES'!$B$4:$M$13,MATCH($C22,'RAMP SCHEDULES'!$A$4:$A$13,0),MIN(12,X$4-$D22+1))*$F22)</f>
        <v>0</v>
      </c>
      <c r="Y22" s="17" t="n">
        <f aca="false">IF(OR($C22="",Y$4&lt;$D22),0,INDEX('RAMP SCHEDULES'!$B$4:$M$13,MATCH($C22,'RAMP SCHEDULES'!$A$4:$A$13,0),MIN(12,Y$4-$D22+1))*$F22)</f>
        <v>0</v>
      </c>
      <c r="Z22" s="17" t="n">
        <f aca="false">IF(OR($C22="",Z$4&lt;$D22),0,INDEX('RAMP SCHEDULES'!$B$4:$M$13,MATCH($C22,'RAMP SCHEDULES'!$A$4:$A$13,0),MIN(12,Z$4-$D22+1))*$F22)</f>
        <v>0</v>
      </c>
      <c r="AA22" s="17" t="n">
        <f aca="false">IF(OR($C22="",AA$4&lt;$D22),0,INDEX('RAMP SCHEDULES'!$B$4:$M$13,MATCH($C22,'RAMP SCHEDULES'!$A$4:$A$13,0),MIN(12,AA$4-$D22+1))*$F22)</f>
        <v>0</v>
      </c>
      <c r="AB22" s="17" t="n">
        <f aca="false">IF(OR($C22="",AB$4&lt;$D22),0,INDEX('RAMP SCHEDULES'!$B$4:$M$13,MATCH($C22,'RAMP SCHEDULES'!$A$4:$A$13,0),MIN(12,AB$4-$D22+1))*$F22)</f>
        <v>0</v>
      </c>
      <c r="AC22" s="17" t="n">
        <f aca="false">IF(OR($C22="",AC$4&lt;$D22),0,INDEX('RAMP SCHEDULES'!$B$4:$M$13,MATCH($C22,'RAMP SCHEDULES'!$A$4:$A$13,0),MIN(12,AC$4-$D22+1))*$F22)</f>
        <v>0</v>
      </c>
      <c r="AD22" s="17" t="n">
        <f aca="false">IF(OR($C22="",AD$4&lt;$D22),0,INDEX('RAMP SCHEDULES'!$B$4:$M$13,MATCH($C22,'RAMP SCHEDULES'!$A$4:$A$13,0),MIN(12,AD$4-$D22+1))*$F22)</f>
        <v>0</v>
      </c>
      <c r="AE22" s="17" t="n">
        <f aca="false">IF(OR($C22="",AE$4&lt;$D22),0,INDEX('RAMP SCHEDULES'!$B$4:$M$13,MATCH($C22,'RAMP SCHEDULES'!$A$4:$A$13,0),MIN(12,AE$4-$D22+1))*$F22)</f>
        <v>0</v>
      </c>
      <c r="AF22" s="17" t="n">
        <f aca="false">IF(OR($C22="",AF$4&lt;$D22),0,INDEX('RAMP SCHEDULES'!$B$4:$M$13,MATCH($C22,'RAMP SCHEDULES'!$A$4:$A$13,0),MIN(12,AF$4-$D22+1))*$F22)</f>
        <v>0</v>
      </c>
      <c r="AG22" s="18" t="n">
        <f aca="false">SUM(I22:T22)</f>
        <v>0</v>
      </c>
      <c r="AH22" s="18" t="n">
        <f aca="false">SUM(U22:AF22)</f>
        <v>0</v>
      </c>
      <c r="AI22" s="17" t="n">
        <f aca="false">AG22*$G22</f>
        <v>0</v>
      </c>
      <c r="AJ22" s="17" t="n">
        <f aca="false">AH22*$G22</f>
        <v>0</v>
      </c>
    </row>
    <row r="23" customFormat="false" ht="15" hidden="false" customHeight="false" outlineLevel="0" collapsed="false">
      <c r="A23" s="25"/>
      <c r="B23" s="25"/>
      <c r="C23" s="25"/>
      <c r="D23" s="26"/>
      <c r="E23" s="27"/>
      <c r="F23" s="27"/>
      <c r="G23" s="28"/>
      <c r="H23" s="17" t="n">
        <f aca="false">IF($C23="",0,12*INDEX('RAMP SCHEDULES'!$B$4:$M$13,MATCH($C23,'RAMP SCHEDULES'!$A$4:$A$13,0),12))</f>
        <v>0</v>
      </c>
      <c r="I23" s="17" t="n">
        <f aca="false">IF(OR($C23="",I$4&lt;$D23),0,INDEX('RAMP SCHEDULES'!$B$4:$M$13,MATCH($C23,'RAMP SCHEDULES'!$A$4:$A$13,0),MIN(12,I$4-$D23+1))*$E23)</f>
        <v>0</v>
      </c>
      <c r="J23" s="17" t="n">
        <f aca="false">IF(OR($C23="",J$4&lt;$D23),0,INDEX('RAMP SCHEDULES'!$B$4:$M$13,MATCH($C23,'RAMP SCHEDULES'!$A$4:$A$13,0),MIN(12,J$4-$D23+1))*$E23)</f>
        <v>0</v>
      </c>
      <c r="K23" s="17" t="n">
        <f aca="false">IF(OR($C23="",K$4&lt;$D23),0,INDEX('RAMP SCHEDULES'!$B$4:$M$13,MATCH($C23,'RAMP SCHEDULES'!$A$4:$A$13,0),MIN(12,K$4-$D23+1))*$E23)</f>
        <v>0</v>
      </c>
      <c r="L23" s="17" t="n">
        <f aca="false">IF(OR($C23="",L$4&lt;$D23),0,INDEX('RAMP SCHEDULES'!$B$4:$M$13,MATCH($C23,'RAMP SCHEDULES'!$A$4:$A$13,0),MIN(12,L$4-$D23+1))*$E23)</f>
        <v>0</v>
      </c>
      <c r="M23" s="17" t="n">
        <f aca="false">IF(OR($C23="",M$4&lt;$D23),0,INDEX('RAMP SCHEDULES'!$B$4:$M$13,MATCH($C23,'RAMP SCHEDULES'!$A$4:$A$13,0),MIN(12,M$4-$D23+1))*$E23)</f>
        <v>0</v>
      </c>
      <c r="N23" s="17" t="n">
        <f aca="false">IF(OR($C23="",N$4&lt;$D23),0,INDEX('RAMP SCHEDULES'!$B$4:$M$13,MATCH($C23,'RAMP SCHEDULES'!$A$4:$A$13,0),MIN(12,N$4-$D23+1))*$E23)</f>
        <v>0</v>
      </c>
      <c r="O23" s="17" t="n">
        <f aca="false">IF(OR($C23="",O$4&lt;$D23),0,INDEX('RAMP SCHEDULES'!$B$4:$M$13,MATCH($C23,'RAMP SCHEDULES'!$A$4:$A$13,0),MIN(12,O$4-$D23+1))*$E23)</f>
        <v>0</v>
      </c>
      <c r="P23" s="17" t="n">
        <f aca="false">IF(OR($C23="",P$4&lt;$D23),0,INDEX('RAMP SCHEDULES'!$B$4:$M$13,MATCH($C23,'RAMP SCHEDULES'!$A$4:$A$13,0),MIN(12,P$4-$D23+1))*$E23)</f>
        <v>0</v>
      </c>
      <c r="Q23" s="17" t="n">
        <f aca="false">IF(OR($C23="",Q$4&lt;$D23),0,INDEX('RAMP SCHEDULES'!$B$4:$M$13,MATCH($C23,'RAMP SCHEDULES'!$A$4:$A$13,0),MIN(12,Q$4-$D23+1))*$E23)</f>
        <v>0</v>
      </c>
      <c r="R23" s="17" t="n">
        <f aca="false">IF(OR($C23="",R$4&lt;$D23),0,INDEX('RAMP SCHEDULES'!$B$4:$M$13,MATCH($C23,'RAMP SCHEDULES'!$A$4:$A$13,0),MIN(12,R$4-$D23+1))*$E23)</f>
        <v>0</v>
      </c>
      <c r="S23" s="17" t="n">
        <f aca="false">IF(OR($C23="",S$4&lt;$D23),0,INDEX('RAMP SCHEDULES'!$B$4:$M$13,MATCH($C23,'RAMP SCHEDULES'!$A$4:$A$13,0),MIN(12,S$4-$D23+1))*$E23)</f>
        <v>0</v>
      </c>
      <c r="T23" s="17" t="n">
        <f aca="false">IF(OR($C23="",T$4&lt;$D23),0,INDEX('RAMP SCHEDULES'!$B$4:$M$13,MATCH($C23,'RAMP SCHEDULES'!$A$4:$A$13,0),MIN(12,T$4-$D23+1))*$E23)</f>
        <v>0</v>
      </c>
      <c r="U23" s="17" t="n">
        <f aca="false">IF(OR($C23="",U$4&lt;$D23),0,INDEX('RAMP SCHEDULES'!$B$4:$M$13,MATCH($C23,'RAMP SCHEDULES'!$A$4:$A$13,0),MIN(12,U$4-$D23+1))*$F23)</f>
        <v>0</v>
      </c>
      <c r="V23" s="17" t="n">
        <f aca="false">IF(OR($C23="",V$4&lt;$D23),0,INDEX('RAMP SCHEDULES'!$B$4:$M$13,MATCH($C23,'RAMP SCHEDULES'!$A$4:$A$13,0),MIN(12,V$4-$D23+1))*$F23)</f>
        <v>0</v>
      </c>
      <c r="W23" s="17" t="n">
        <f aca="false">IF(OR($C23="",W$4&lt;$D23),0,INDEX('RAMP SCHEDULES'!$B$4:$M$13,MATCH($C23,'RAMP SCHEDULES'!$A$4:$A$13,0),MIN(12,W$4-$D23+1))*$F23)</f>
        <v>0</v>
      </c>
      <c r="X23" s="17" t="n">
        <f aca="false">IF(OR($C23="",X$4&lt;$D23),0,INDEX('RAMP SCHEDULES'!$B$4:$M$13,MATCH($C23,'RAMP SCHEDULES'!$A$4:$A$13,0),MIN(12,X$4-$D23+1))*$F23)</f>
        <v>0</v>
      </c>
      <c r="Y23" s="17" t="n">
        <f aca="false">IF(OR($C23="",Y$4&lt;$D23),0,INDEX('RAMP SCHEDULES'!$B$4:$M$13,MATCH($C23,'RAMP SCHEDULES'!$A$4:$A$13,0),MIN(12,Y$4-$D23+1))*$F23)</f>
        <v>0</v>
      </c>
      <c r="Z23" s="17" t="n">
        <f aca="false">IF(OR($C23="",Z$4&lt;$D23),0,INDEX('RAMP SCHEDULES'!$B$4:$M$13,MATCH($C23,'RAMP SCHEDULES'!$A$4:$A$13,0),MIN(12,Z$4-$D23+1))*$F23)</f>
        <v>0</v>
      </c>
      <c r="AA23" s="17" t="n">
        <f aca="false">IF(OR($C23="",AA$4&lt;$D23),0,INDEX('RAMP SCHEDULES'!$B$4:$M$13,MATCH($C23,'RAMP SCHEDULES'!$A$4:$A$13,0),MIN(12,AA$4-$D23+1))*$F23)</f>
        <v>0</v>
      </c>
      <c r="AB23" s="17" t="n">
        <f aca="false">IF(OR($C23="",AB$4&lt;$D23),0,INDEX('RAMP SCHEDULES'!$B$4:$M$13,MATCH($C23,'RAMP SCHEDULES'!$A$4:$A$13,0),MIN(12,AB$4-$D23+1))*$F23)</f>
        <v>0</v>
      </c>
      <c r="AC23" s="17" t="n">
        <f aca="false">IF(OR($C23="",AC$4&lt;$D23),0,INDEX('RAMP SCHEDULES'!$B$4:$M$13,MATCH($C23,'RAMP SCHEDULES'!$A$4:$A$13,0),MIN(12,AC$4-$D23+1))*$F23)</f>
        <v>0</v>
      </c>
      <c r="AD23" s="17" t="n">
        <f aca="false">IF(OR($C23="",AD$4&lt;$D23),0,INDEX('RAMP SCHEDULES'!$B$4:$M$13,MATCH($C23,'RAMP SCHEDULES'!$A$4:$A$13,0),MIN(12,AD$4-$D23+1))*$F23)</f>
        <v>0</v>
      </c>
      <c r="AE23" s="17" t="n">
        <f aca="false">IF(OR($C23="",AE$4&lt;$D23),0,INDEX('RAMP SCHEDULES'!$B$4:$M$13,MATCH($C23,'RAMP SCHEDULES'!$A$4:$A$13,0),MIN(12,AE$4-$D23+1))*$F23)</f>
        <v>0</v>
      </c>
      <c r="AF23" s="17" t="n">
        <f aca="false">IF(OR($C23="",AF$4&lt;$D23),0,INDEX('RAMP SCHEDULES'!$B$4:$M$13,MATCH($C23,'RAMP SCHEDULES'!$A$4:$A$13,0),MIN(12,AF$4-$D23+1))*$F23)</f>
        <v>0</v>
      </c>
      <c r="AG23" s="18" t="n">
        <f aca="false">SUM(I23:T23)</f>
        <v>0</v>
      </c>
      <c r="AH23" s="18" t="n">
        <f aca="false">SUM(U23:AF23)</f>
        <v>0</v>
      </c>
      <c r="AI23" s="17" t="n">
        <f aca="false">AG23*$G23</f>
        <v>0</v>
      </c>
      <c r="AJ23" s="17" t="n">
        <f aca="false">AH23*$G23</f>
        <v>0</v>
      </c>
    </row>
    <row r="24" customFormat="false" ht="15" hidden="false" customHeight="false" outlineLevel="0" collapsed="false">
      <c r="A24" s="25"/>
      <c r="B24" s="25"/>
      <c r="C24" s="25"/>
      <c r="D24" s="26"/>
      <c r="E24" s="27"/>
      <c r="F24" s="27"/>
      <c r="G24" s="28"/>
      <c r="H24" s="17" t="n">
        <f aca="false">IF($C24="",0,12*INDEX('RAMP SCHEDULES'!$B$4:$M$13,MATCH($C24,'RAMP SCHEDULES'!$A$4:$A$13,0),12))</f>
        <v>0</v>
      </c>
      <c r="I24" s="17" t="n">
        <f aca="false">IF(OR($C24="",I$4&lt;$D24),0,INDEX('RAMP SCHEDULES'!$B$4:$M$13,MATCH($C24,'RAMP SCHEDULES'!$A$4:$A$13,0),MIN(12,I$4-$D24+1))*$E24)</f>
        <v>0</v>
      </c>
      <c r="J24" s="17" t="n">
        <f aca="false">IF(OR($C24="",J$4&lt;$D24),0,INDEX('RAMP SCHEDULES'!$B$4:$M$13,MATCH($C24,'RAMP SCHEDULES'!$A$4:$A$13,0),MIN(12,J$4-$D24+1))*$E24)</f>
        <v>0</v>
      </c>
      <c r="K24" s="17" t="n">
        <f aca="false">IF(OR($C24="",K$4&lt;$D24),0,INDEX('RAMP SCHEDULES'!$B$4:$M$13,MATCH($C24,'RAMP SCHEDULES'!$A$4:$A$13,0),MIN(12,K$4-$D24+1))*$E24)</f>
        <v>0</v>
      </c>
      <c r="L24" s="17" t="n">
        <f aca="false">IF(OR($C24="",L$4&lt;$D24),0,INDEX('RAMP SCHEDULES'!$B$4:$M$13,MATCH($C24,'RAMP SCHEDULES'!$A$4:$A$13,0),MIN(12,L$4-$D24+1))*$E24)</f>
        <v>0</v>
      </c>
      <c r="M24" s="17" t="n">
        <f aca="false">IF(OR($C24="",M$4&lt;$D24),0,INDEX('RAMP SCHEDULES'!$B$4:$M$13,MATCH($C24,'RAMP SCHEDULES'!$A$4:$A$13,0),MIN(12,M$4-$D24+1))*$E24)</f>
        <v>0</v>
      </c>
      <c r="N24" s="17" t="n">
        <f aca="false">IF(OR($C24="",N$4&lt;$D24),0,INDEX('RAMP SCHEDULES'!$B$4:$M$13,MATCH($C24,'RAMP SCHEDULES'!$A$4:$A$13,0),MIN(12,N$4-$D24+1))*$E24)</f>
        <v>0</v>
      </c>
      <c r="O24" s="17" t="n">
        <f aca="false">IF(OR($C24="",O$4&lt;$D24),0,INDEX('RAMP SCHEDULES'!$B$4:$M$13,MATCH($C24,'RAMP SCHEDULES'!$A$4:$A$13,0),MIN(12,O$4-$D24+1))*$E24)</f>
        <v>0</v>
      </c>
      <c r="P24" s="17" t="n">
        <f aca="false">IF(OR($C24="",P$4&lt;$D24),0,INDEX('RAMP SCHEDULES'!$B$4:$M$13,MATCH($C24,'RAMP SCHEDULES'!$A$4:$A$13,0),MIN(12,P$4-$D24+1))*$E24)</f>
        <v>0</v>
      </c>
      <c r="Q24" s="17" t="n">
        <f aca="false">IF(OR($C24="",Q$4&lt;$D24),0,INDEX('RAMP SCHEDULES'!$B$4:$M$13,MATCH($C24,'RAMP SCHEDULES'!$A$4:$A$13,0),MIN(12,Q$4-$D24+1))*$E24)</f>
        <v>0</v>
      </c>
      <c r="R24" s="17" t="n">
        <f aca="false">IF(OR($C24="",R$4&lt;$D24),0,INDEX('RAMP SCHEDULES'!$B$4:$M$13,MATCH($C24,'RAMP SCHEDULES'!$A$4:$A$13,0),MIN(12,R$4-$D24+1))*$E24)</f>
        <v>0</v>
      </c>
      <c r="S24" s="17" t="n">
        <f aca="false">IF(OR($C24="",S$4&lt;$D24),0,INDEX('RAMP SCHEDULES'!$B$4:$M$13,MATCH($C24,'RAMP SCHEDULES'!$A$4:$A$13,0),MIN(12,S$4-$D24+1))*$E24)</f>
        <v>0</v>
      </c>
      <c r="T24" s="17" t="n">
        <f aca="false">IF(OR($C24="",T$4&lt;$D24),0,INDEX('RAMP SCHEDULES'!$B$4:$M$13,MATCH($C24,'RAMP SCHEDULES'!$A$4:$A$13,0),MIN(12,T$4-$D24+1))*$E24)</f>
        <v>0</v>
      </c>
      <c r="U24" s="17" t="n">
        <f aca="false">IF(OR($C24="",U$4&lt;$D24),0,INDEX('RAMP SCHEDULES'!$B$4:$M$13,MATCH($C24,'RAMP SCHEDULES'!$A$4:$A$13,0),MIN(12,U$4-$D24+1))*$F24)</f>
        <v>0</v>
      </c>
      <c r="V24" s="17" t="n">
        <f aca="false">IF(OR($C24="",V$4&lt;$D24),0,INDEX('RAMP SCHEDULES'!$B$4:$M$13,MATCH($C24,'RAMP SCHEDULES'!$A$4:$A$13,0),MIN(12,V$4-$D24+1))*$F24)</f>
        <v>0</v>
      </c>
      <c r="W24" s="17" t="n">
        <f aca="false">IF(OR($C24="",W$4&lt;$D24),0,INDEX('RAMP SCHEDULES'!$B$4:$M$13,MATCH($C24,'RAMP SCHEDULES'!$A$4:$A$13,0),MIN(12,W$4-$D24+1))*$F24)</f>
        <v>0</v>
      </c>
      <c r="X24" s="17" t="n">
        <f aca="false">IF(OR($C24="",X$4&lt;$D24),0,INDEX('RAMP SCHEDULES'!$B$4:$M$13,MATCH($C24,'RAMP SCHEDULES'!$A$4:$A$13,0),MIN(12,X$4-$D24+1))*$F24)</f>
        <v>0</v>
      </c>
      <c r="Y24" s="17" t="n">
        <f aca="false">IF(OR($C24="",Y$4&lt;$D24),0,INDEX('RAMP SCHEDULES'!$B$4:$M$13,MATCH($C24,'RAMP SCHEDULES'!$A$4:$A$13,0),MIN(12,Y$4-$D24+1))*$F24)</f>
        <v>0</v>
      </c>
      <c r="Z24" s="17" t="n">
        <f aca="false">IF(OR($C24="",Z$4&lt;$D24),0,INDEX('RAMP SCHEDULES'!$B$4:$M$13,MATCH($C24,'RAMP SCHEDULES'!$A$4:$A$13,0),MIN(12,Z$4-$D24+1))*$F24)</f>
        <v>0</v>
      </c>
      <c r="AA24" s="17" t="n">
        <f aca="false">IF(OR($C24="",AA$4&lt;$D24),0,INDEX('RAMP SCHEDULES'!$B$4:$M$13,MATCH($C24,'RAMP SCHEDULES'!$A$4:$A$13,0),MIN(12,AA$4-$D24+1))*$F24)</f>
        <v>0</v>
      </c>
      <c r="AB24" s="17" t="n">
        <f aca="false">IF(OR($C24="",AB$4&lt;$D24),0,INDEX('RAMP SCHEDULES'!$B$4:$M$13,MATCH($C24,'RAMP SCHEDULES'!$A$4:$A$13,0),MIN(12,AB$4-$D24+1))*$F24)</f>
        <v>0</v>
      </c>
      <c r="AC24" s="17" t="n">
        <f aca="false">IF(OR($C24="",AC$4&lt;$D24),0,INDEX('RAMP SCHEDULES'!$B$4:$M$13,MATCH($C24,'RAMP SCHEDULES'!$A$4:$A$13,0),MIN(12,AC$4-$D24+1))*$F24)</f>
        <v>0</v>
      </c>
      <c r="AD24" s="17" t="n">
        <f aca="false">IF(OR($C24="",AD$4&lt;$D24),0,INDEX('RAMP SCHEDULES'!$B$4:$M$13,MATCH($C24,'RAMP SCHEDULES'!$A$4:$A$13,0),MIN(12,AD$4-$D24+1))*$F24)</f>
        <v>0</v>
      </c>
      <c r="AE24" s="17" t="n">
        <f aca="false">IF(OR($C24="",AE$4&lt;$D24),0,INDEX('RAMP SCHEDULES'!$B$4:$M$13,MATCH($C24,'RAMP SCHEDULES'!$A$4:$A$13,0),MIN(12,AE$4-$D24+1))*$F24)</f>
        <v>0</v>
      </c>
      <c r="AF24" s="17" t="n">
        <f aca="false">IF(OR($C24="",AF$4&lt;$D24),0,INDEX('RAMP SCHEDULES'!$B$4:$M$13,MATCH($C24,'RAMP SCHEDULES'!$A$4:$A$13,0),MIN(12,AF$4-$D24+1))*$F24)</f>
        <v>0</v>
      </c>
      <c r="AG24" s="18" t="n">
        <f aca="false">SUM(I24:T24)</f>
        <v>0</v>
      </c>
      <c r="AH24" s="18" t="n">
        <f aca="false">SUM(U24:AF24)</f>
        <v>0</v>
      </c>
      <c r="AI24" s="17" t="n">
        <f aca="false">AG24*$G24</f>
        <v>0</v>
      </c>
      <c r="AJ24" s="17" t="n">
        <f aca="false">AH24*$G24</f>
        <v>0</v>
      </c>
    </row>
    <row r="25" customFormat="false" ht="15" hidden="false" customHeight="false" outlineLevel="0" collapsed="false">
      <c r="A25" s="25"/>
      <c r="B25" s="25"/>
      <c r="C25" s="25"/>
      <c r="D25" s="26"/>
      <c r="E25" s="27"/>
      <c r="F25" s="27"/>
      <c r="G25" s="28"/>
      <c r="H25" s="17" t="n">
        <f aca="false">IF($C25="",0,12*INDEX('RAMP SCHEDULES'!$B$4:$M$13,MATCH($C25,'RAMP SCHEDULES'!$A$4:$A$13,0),12))</f>
        <v>0</v>
      </c>
      <c r="I25" s="17" t="n">
        <f aca="false">IF(OR($C25="",I$4&lt;$D25),0,INDEX('RAMP SCHEDULES'!$B$4:$M$13,MATCH($C25,'RAMP SCHEDULES'!$A$4:$A$13,0),MIN(12,I$4-$D25+1))*$E25)</f>
        <v>0</v>
      </c>
      <c r="J25" s="17" t="n">
        <f aca="false">IF(OR($C25="",J$4&lt;$D25),0,INDEX('RAMP SCHEDULES'!$B$4:$M$13,MATCH($C25,'RAMP SCHEDULES'!$A$4:$A$13,0),MIN(12,J$4-$D25+1))*$E25)</f>
        <v>0</v>
      </c>
      <c r="K25" s="17" t="n">
        <f aca="false">IF(OR($C25="",K$4&lt;$D25),0,INDEX('RAMP SCHEDULES'!$B$4:$M$13,MATCH($C25,'RAMP SCHEDULES'!$A$4:$A$13,0),MIN(12,K$4-$D25+1))*$E25)</f>
        <v>0</v>
      </c>
      <c r="L25" s="17" t="n">
        <f aca="false">IF(OR($C25="",L$4&lt;$D25),0,INDEX('RAMP SCHEDULES'!$B$4:$M$13,MATCH($C25,'RAMP SCHEDULES'!$A$4:$A$13,0),MIN(12,L$4-$D25+1))*$E25)</f>
        <v>0</v>
      </c>
      <c r="M25" s="17" t="n">
        <f aca="false">IF(OR($C25="",M$4&lt;$D25),0,INDEX('RAMP SCHEDULES'!$B$4:$M$13,MATCH($C25,'RAMP SCHEDULES'!$A$4:$A$13,0),MIN(12,M$4-$D25+1))*$E25)</f>
        <v>0</v>
      </c>
      <c r="N25" s="17" t="n">
        <f aca="false">IF(OR($C25="",N$4&lt;$D25),0,INDEX('RAMP SCHEDULES'!$B$4:$M$13,MATCH($C25,'RAMP SCHEDULES'!$A$4:$A$13,0),MIN(12,N$4-$D25+1))*$E25)</f>
        <v>0</v>
      </c>
      <c r="O25" s="17" t="n">
        <f aca="false">IF(OR($C25="",O$4&lt;$D25),0,INDEX('RAMP SCHEDULES'!$B$4:$M$13,MATCH($C25,'RAMP SCHEDULES'!$A$4:$A$13,0),MIN(12,O$4-$D25+1))*$E25)</f>
        <v>0</v>
      </c>
      <c r="P25" s="17" t="n">
        <f aca="false">IF(OR($C25="",P$4&lt;$D25),0,INDEX('RAMP SCHEDULES'!$B$4:$M$13,MATCH($C25,'RAMP SCHEDULES'!$A$4:$A$13,0),MIN(12,P$4-$D25+1))*$E25)</f>
        <v>0</v>
      </c>
      <c r="Q25" s="17" t="n">
        <f aca="false">IF(OR($C25="",Q$4&lt;$D25),0,INDEX('RAMP SCHEDULES'!$B$4:$M$13,MATCH($C25,'RAMP SCHEDULES'!$A$4:$A$13,0),MIN(12,Q$4-$D25+1))*$E25)</f>
        <v>0</v>
      </c>
      <c r="R25" s="17" t="n">
        <f aca="false">IF(OR($C25="",R$4&lt;$D25),0,INDEX('RAMP SCHEDULES'!$B$4:$M$13,MATCH($C25,'RAMP SCHEDULES'!$A$4:$A$13,0),MIN(12,R$4-$D25+1))*$E25)</f>
        <v>0</v>
      </c>
      <c r="S25" s="17" t="n">
        <f aca="false">IF(OR($C25="",S$4&lt;$D25),0,INDEX('RAMP SCHEDULES'!$B$4:$M$13,MATCH($C25,'RAMP SCHEDULES'!$A$4:$A$13,0),MIN(12,S$4-$D25+1))*$E25)</f>
        <v>0</v>
      </c>
      <c r="T25" s="17" t="n">
        <f aca="false">IF(OR($C25="",T$4&lt;$D25),0,INDEX('RAMP SCHEDULES'!$B$4:$M$13,MATCH($C25,'RAMP SCHEDULES'!$A$4:$A$13,0),MIN(12,T$4-$D25+1))*$E25)</f>
        <v>0</v>
      </c>
      <c r="U25" s="17" t="n">
        <f aca="false">IF(OR($C25="",U$4&lt;$D25),0,INDEX('RAMP SCHEDULES'!$B$4:$M$13,MATCH($C25,'RAMP SCHEDULES'!$A$4:$A$13,0),MIN(12,U$4-$D25+1))*$F25)</f>
        <v>0</v>
      </c>
      <c r="V25" s="17" t="n">
        <f aca="false">IF(OR($C25="",V$4&lt;$D25),0,INDEX('RAMP SCHEDULES'!$B$4:$M$13,MATCH($C25,'RAMP SCHEDULES'!$A$4:$A$13,0),MIN(12,V$4-$D25+1))*$F25)</f>
        <v>0</v>
      </c>
      <c r="W25" s="17" t="n">
        <f aca="false">IF(OR($C25="",W$4&lt;$D25),0,INDEX('RAMP SCHEDULES'!$B$4:$M$13,MATCH($C25,'RAMP SCHEDULES'!$A$4:$A$13,0),MIN(12,W$4-$D25+1))*$F25)</f>
        <v>0</v>
      </c>
      <c r="X25" s="17" t="n">
        <f aca="false">IF(OR($C25="",X$4&lt;$D25),0,INDEX('RAMP SCHEDULES'!$B$4:$M$13,MATCH($C25,'RAMP SCHEDULES'!$A$4:$A$13,0),MIN(12,X$4-$D25+1))*$F25)</f>
        <v>0</v>
      </c>
      <c r="Y25" s="17" t="n">
        <f aca="false">IF(OR($C25="",Y$4&lt;$D25),0,INDEX('RAMP SCHEDULES'!$B$4:$M$13,MATCH($C25,'RAMP SCHEDULES'!$A$4:$A$13,0),MIN(12,Y$4-$D25+1))*$F25)</f>
        <v>0</v>
      </c>
      <c r="Z25" s="17" t="n">
        <f aca="false">IF(OR($C25="",Z$4&lt;$D25),0,INDEX('RAMP SCHEDULES'!$B$4:$M$13,MATCH($C25,'RAMP SCHEDULES'!$A$4:$A$13,0),MIN(12,Z$4-$D25+1))*$F25)</f>
        <v>0</v>
      </c>
      <c r="AA25" s="17" t="n">
        <f aca="false">IF(OR($C25="",AA$4&lt;$D25),0,INDEX('RAMP SCHEDULES'!$B$4:$M$13,MATCH($C25,'RAMP SCHEDULES'!$A$4:$A$13,0),MIN(12,AA$4-$D25+1))*$F25)</f>
        <v>0</v>
      </c>
      <c r="AB25" s="17" t="n">
        <f aca="false">IF(OR($C25="",AB$4&lt;$D25),0,INDEX('RAMP SCHEDULES'!$B$4:$M$13,MATCH($C25,'RAMP SCHEDULES'!$A$4:$A$13,0),MIN(12,AB$4-$D25+1))*$F25)</f>
        <v>0</v>
      </c>
      <c r="AC25" s="17" t="n">
        <f aca="false">IF(OR($C25="",AC$4&lt;$D25),0,INDEX('RAMP SCHEDULES'!$B$4:$M$13,MATCH($C25,'RAMP SCHEDULES'!$A$4:$A$13,0),MIN(12,AC$4-$D25+1))*$F25)</f>
        <v>0</v>
      </c>
      <c r="AD25" s="17" t="n">
        <f aca="false">IF(OR($C25="",AD$4&lt;$D25),0,INDEX('RAMP SCHEDULES'!$B$4:$M$13,MATCH($C25,'RAMP SCHEDULES'!$A$4:$A$13,0),MIN(12,AD$4-$D25+1))*$F25)</f>
        <v>0</v>
      </c>
      <c r="AE25" s="17" t="n">
        <f aca="false">IF(OR($C25="",AE$4&lt;$D25),0,INDEX('RAMP SCHEDULES'!$B$4:$M$13,MATCH($C25,'RAMP SCHEDULES'!$A$4:$A$13,0),MIN(12,AE$4-$D25+1))*$F25)</f>
        <v>0</v>
      </c>
      <c r="AF25" s="17" t="n">
        <f aca="false">IF(OR($C25="",AF$4&lt;$D25),0,INDEX('RAMP SCHEDULES'!$B$4:$M$13,MATCH($C25,'RAMP SCHEDULES'!$A$4:$A$13,0),MIN(12,AF$4-$D25+1))*$F25)</f>
        <v>0</v>
      </c>
      <c r="AG25" s="18" t="n">
        <f aca="false">SUM(I25:T25)</f>
        <v>0</v>
      </c>
      <c r="AH25" s="18" t="n">
        <f aca="false">SUM(U25:AF25)</f>
        <v>0</v>
      </c>
      <c r="AI25" s="17" t="n">
        <f aca="false">AG25*$G25</f>
        <v>0</v>
      </c>
      <c r="AJ25" s="17" t="n">
        <f aca="false">AH25*$G25</f>
        <v>0</v>
      </c>
    </row>
    <row r="26" customFormat="false" ht="15" hidden="false" customHeight="false" outlineLevel="0" collapsed="false">
      <c r="A26" s="29" t="s">
        <v>145</v>
      </c>
      <c r="I26" s="30" t="n">
        <f aca="false">SUM(I6:I25)</f>
        <v>937199.2</v>
      </c>
      <c r="J26" s="30" t="n">
        <f aca="false">SUM(J6:J25)</f>
        <v>941199.2</v>
      </c>
      <c r="K26" s="30" t="n">
        <f aca="false">SUM(K6:K25)</f>
        <v>953201.6</v>
      </c>
      <c r="L26" s="30" t="n">
        <f aca="false">SUM(L6:L25)</f>
        <v>1013201.6</v>
      </c>
      <c r="M26" s="30" t="n">
        <f aca="false">SUM(M6:M25)</f>
        <v>1047868</v>
      </c>
      <c r="N26" s="30" t="n">
        <f aca="false">SUM(N6:N25)</f>
        <v>1055868</v>
      </c>
      <c r="O26" s="30" t="n">
        <f aca="false">SUM(O6:O25)</f>
        <v>1135868.8</v>
      </c>
      <c r="P26" s="30" t="n">
        <f aca="false">SUM(P6:P25)</f>
        <v>1173201.6</v>
      </c>
      <c r="Q26" s="30" t="n">
        <f aca="false">SUM(Q6:Q25)</f>
        <v>1181201.6</v>
      </c>
      <c r="R26" s="30" t="n">
        <f aca="false">SUM(R6:R25)</f>
        <v>1197203.2</v>
      </c>
      <c r="S26" s="30" t="n">
        <f aca="false">SUM(S6:S25)</f>
        <v>1221203.2</v>
      </c>
      <c r="T26" s="30" t="n">
        <f aca="false">SUM(T6:T25)</f>
        <v>1250536</v>
      </c>
      <c r="AG26" s="30" t="n">
        <f aca="false">SUM(I26:T26)</f>
        <v>13107752</v>
      </c>
    </row>
    <row r="27" customFormat="false" ht="15" hidden="false" customHeight="false" outlineLevel="0" collapsed="false">
      <c r="A27" s="29" t="s">
        <v>146</v>
      </c>
      <c r="I27" s="30" t="n">
        <f aca="false">SUM(U6:U25)</f>
        <v>1088999</v>
      </c>
      <c r="J27" s="30" t="n">
        <f aca="false">SUM(V6:V25)</f>
        <v>1093999</v>
      </c>
      <c r="K27" s="30" t="n">
        <f aca="false">SUM(W6:W25)</f>
        <v>1109002</v>
      </c>
      <c r="L27" s="30" t="n">
        <f aca="false">SUM(X6:X25)</f>
        <v>1184002</v>
      </c>
      <c r="M27" s="30" t="n">
        <f aca="false">SUM(Y6:Y25)</f>
        <v>1227335</v>
      </c>
      <c r="N27" s="30" t="n">
        <f aca="false">SUM(Z6:Z25)</f>
        <v>1237335</v>
      </c>
      <c r="O27" s="30" t="n">
        <f aca="false">SUM(AA6:AA25)</f>
        <v>1337336</v>
      </c>
      <c r="P27" s="30" t="n">
        <f aca="false">SUM(AB6:AB25)</f>
        <v>1384002</v>
      </c>
      <c r="Q27" s="30" t="n">
        <f aca="false">SUM(AC6:AC25)</f>
        <v>1394002</v>
      </c>
      <c r="R27" s="30" t="n">
        <f aca="false">SUM(AD6:AD25)</f>
        <v>1414004</v>
      </c>
      <c r="S27" s="30" t="n">
        <f aca="false">SUM(AE6:AE25)</f>
        <v>1444004</v>
      </c>
      <c r="T27" s="30" t="n">
        <f aca="false">SUM(AF6:AF25)</f>
        <v>1480670</v>
      </c>
      <c r="AG27" s="30" t="n">
        <f aca="false">SUM(I27:T27)</f>
        <v>15394690</v>
      </c>
    </row>
    <row r="28" customFormat="false" ht="15" hidden="false" customHeight="false" outlineLevel="0" collapsed="false">
      <c r="A28" s="19" t="s">
        <v>147</v>
      </c>
      <c r="I28" s="20" t="n">
        <f aca="false">SUMPRODUCT($G$6:$G$25,I$6:I$25)</f>
        <v>16874.98</v>
      </c>
      <c r="J28" s="20" t="n">
        <f aca="false">SUMPRODUCT($G$6:$G$25,J$6:J$25)</f>
        <v>16974.98</v>
      </c>
      <c r="K28" s="20" t="n">
        <f aca="false">SUMPRODUCT($G$6:$G$25,K$6:K$25)</f>
        <v>17275.04</v>
      </c>
      <c r="L28" s="20" t="n">
        <f aca="false">SUMPRODUCT($G$6:$G$25,L$6:L$25)</f>
        <v>18775.04</v>
      </c>
      <c r="M28" s="20" t="n">
        <f aca="false">SUMPRODUCT($G$6:$G$25,M$6:M$25)</f>
        <v>19641.7</v>
      </c>
      <c r="N28" s="20" t="n">
        <f aca="false">SUMPRODUCT($G$6:$G$25,N$6:N$25)</f>
        <v>19841.7</v>
      </c>
      <c r="O28" s="20" t="n">
        <f aca="false">SUMPRODUCT($G$6:$G$25,O$6:O$25)</f>
        <v>21841.72</v>
      </c>
      <c r="P28" s="20" t="n">
        <f aca="false">SUMPRODUCT($G$6:$G$25,P$6:P$25)</f>
        <v>22775.04</v>
      </c>
      <c r="Q28" s="20" t="n">
        <f aca="false">SUMPRODUCT($G$6:$G$25,Q$6:Q$25)</f>
        <v>22975.04</v>
      </c>
      <c r="R28" s="20" t="n">
        <f aca="false">SUMPRODUCT($G$6:$G$25,R$6:R$25)</f>
        <v>23375.08</v>
      </c>
      <c r="S28" s="20" t="n">
        <f aca="false">SUMPRODUCT($G$6:$G$25,S$6:S$25)</f>
        <v>23975.08</v>
      </c>
      <c r="T28" s="20" t="n">
        <f aca="false">SUMPRODUCT($G$6:$G$25,T$6:T$25)</f>
        <v>24708.4</v>
      </c>
      <c r="AG28" s="20" t="n">
        <f aca="false">SUM(I28:T28)</f>
        <v>249033.8</v>
      </c>
    </row>
    <row r="29" customFormat="false" ht="15" hidden="false" customHeight="false" outlineLevel="0" collapsed="false">
      <c r="A29" s="19" t="s">
        <v>148</v>
      </c>
      <c r="I29" s="20" t="n">
        <f aca="false">SUMPRODUCT($G$6:$G$25,U$6:U$25)</f>
        <v>19649.975</v>
      </c>
      <c r="J29" s="20" t="n">
        <f aca="false">SUMPRODUCT($G$6:$G$25,V$6:V$25)</f>
        <v>19774.975</v>
      </c>
      <c r="K29" s="20" t="n">
        <f aca="false">SUMPRODUCT($G$6:$G$25,W$6:W$25)</f>
        <v>20150.05</v>
      </c>
      <c r="L29" s="20" t="n">
        <f aca="false">SUMPRODUCT($G$6:$G$25,X$6:X$25)</f>
        <v>22025.05</v>
      </c>
      <c r="M29" s="20" t="n">
        <f aca="false">SUMPRODUCT($G$6:$G$25,Y$6:Y$25)</f>
        <v>23108.375</v>
      </c>
      <c r="N29" s="20" t="n">
        <f aca="false">SUMPRODUCT($G$6:$G$25,Z$6:Z$25)</f>
        <v>23358.375</v>
      </c>
      <c r="O29" s="20" t="n">
        <f aca="false">SUMPRODUCT($G$6:$G$25,AA$6:AA$25)</f>
        <v>25858.4</v>
      </c>
      <c r="P29" s="20" t="n">
        <f aca="false">SUMPRODUCT($G$6:$G$25,AB$6:AB$25)</f>
        <v>27025.05</v>
      </c>
      <c r="Q29" s="20" t="n">
        <f aca="false">SUMPRODUCT($G$6:$G$25,AC$6:AC$25)</f>
        <v>27275.05</v>
      </c>
      <c r="R29" s="20" t="n">
        <f aca="false">SUMPRODUCT($G$6:$G$25,AD$6:AD$25)</f>
        <v>27775.1</v>
      </c>
      <c r="S29" s="20" t="n">
        <f aca="false">SUMPRODUCT($G$6:$G$25,AE$6:AE$25)</f>
        <v>28525.1</v>
      </c>
      <c r="T29" s="20" t="n">
        <f aca="false">SUMPRODUCT($G$6:$G$25,AF$6:AF$25)</f>
        <v>29441.75</v>
      </c>
      <c r="AG29" s="20" t="n">
        <f aca="false">SUM(I29:T29)</f>
        <v>293967.25</v>
      </c>
    </row>
    <row r="30" customFormat="false" ht="15" hidden="false" customHeight="false" outlineLevel="0" collapsed="false">
      <c r="A30" s="19" t="s">
        <v>149</v>
      </c>
      <c r="I30" s="20" t="n">
        <f aca="false">$E$3*I$26</f>
        <v>14057.988</v>
      </c>
      <c r="J30" s="20" t="n">
        <f aca="false">$E$3*J$26</f>
        <v>14117.988</v>
      </c>
      <c r="K30" s="20" t="n">
        <f aca="false">$E$3*K$26</f>
        <v>14298.024</v>
      </c>
      <c r="L30" s="20" t="n">
        <f aca="false">$E$3*L$26</f>
        <v>15198.024</v>
      </c>
      <c r="M30" s="20" t="n">
        <f aca="false">$E$3*M$26</f>
        <v>15718.02</v>
      </c>
      <c r="N30" s="20" t="n">
        <f aca="false">$E$3*N$26</f>
        <v>15838.02</v>
      </c>
      <c r="O30" s="20" t="n">
        <f aca="false">$E$3*O$26</f>
        <v>17038.032</v>
      </c>
      <c r="P30" s="20" t="n">
        <f aca="false">$E$3*P$26</f>
        <v>17598.024</v>
      </c>
      <c r="Q30" s="20" t="n">
        <f aca="false">$E$3*Q$26</f>
        <v>17718.024</v>
      </c>
      <c r="R30" s="20" t="n">
        <f aca="false">$E$3*R$26</f>
        <v>17958.048</v>
      </c>
      <c r="S30" s="20" t="n">
        <f aca="false">$E$3*S$26</f>
        <v>18318.048</v>
      </c>
      <c r="T30" s="20" t="n">
        <f aca="false">$E$3*T$26</f>
        <v>18758.04</v>
      </c>
      <c r="AG30" s="20" t="n">
        <f aca="false">SUM(I30:T30)</f>
        <v>196616.28</v>
      </c>
    </row>
    <row r="31" customFormat="false" ht="15" hidden="false" customHeight="false" outlineLevel="0" collapsed="false">
      <c r="A31" s="19" t="s">
        <v>150</v>
      </c>
      <c r="I31" s="20" t="n">
        <f aca="false">$E$3*I$27</f>
        <v>16334.985</v>
      </c>
      <c r="J31" s="20" t="n">
        <f aca="false">$E$3*J$27</f>
        <v>16409.985</v>
      </c>
      <c r="K31" s="20" t="n">
        <f aca="false">$E$3*K$27</f>
        <v>16635.03</v>
      </c>
      <c r="L31" s="20" t="n">
        <f aca="false">$E$3*L$27</f>
        <v>17760.03</v>
      </c>
      <c r="M31" s="20" t="n">
        <f aca="false">$E$3*M$27</f>
        <v>18410.025</v>
      </c>
      <c r="N31" s="20" t="n">
        <f aca="false">$E$3*N$27</f>
        <v>18560.025</v>
      </c>
      <c r="O31" s="20" t="n">
        <f aca="false">$E$3*O$27</f>
        <v>20060.04</v>
      </c>
      <c r="P31" s="20" t="n">
        <f aca="false">$E$3*P$27</f>
        <v>20760.03</v>
      </c>
      <c r="Q31" s="20" t="n">
        <f aca="false">$E$3*Q$27</f>
        <v>20910.03</v>
      </c>
      <c r="R31" s="20" t="n">
        <f aca="false">$E$3*R$27</f>
        <v>21210.06</v>
      </c>
      <c r="S31" s="20" t="n">
        <f aca="false">$E$3*S$27</f>
        <v>21660.06</v>
      </c>
      <c r="T31" s="20" t="n">
        <f aca="false">$E$3*T$27</f>
        <v>22210.05</v>
      </c>
      <c r="AG31" s="20" t="n">
        <f aca="false">SUM(I31:T31)</f>
        <v>230920.35</v>
      </c>
    </row>
    <row r="32" customFormat="false" ht="15" hidden="false" customHeight="false" outlineLevel="0" collapsed="false">
      <c r="A32" s="19" t="s">
        <v>151</v>
      </c>
      <c r="I32" s="20" t="n">
        <f aca="false">$H$3*MAX(0,I$26-$K$3)</f>
        <v>0</v>
      </c>
      <c r="J32" s="20" t="n">
        <f aca="false">$H$3*MAX(0,J$26-$K$3)</f>
        <v>0</v>
      </c>
      <c r="K32" s="20" t="n">
        <f aca="false">$H$3*MAX(0,K$26-$K$3)</f>
        <v>0</v>
      </c>
      <c r="L32" s="20" t="n">
        <f aca="false">$H$3*MAX(0,L$26-$K$3)</f>
        <v>316.222666666667</v>
      </c>
      <c r="M32" s="20" t="n">
        <f aca="false">$H$3*MAX(0,M$26-$K$3)</f>
        <v>1529.54666666667</v>
      </c>
      <c r="N32" s="20" t="n">
        <f aca="false">$H$3*MAX(0,N$26-$K$3)</f>
        <v>1809.54666666667</v>
      </c>
      <c r="O32" s="20" t="n">
        <f aca="false">$H$3*MAX(0,O$26-$K$3)</f>
        <v>4609.57466666667</v>
      </c>
      <c r="P32" s="20" t="n">
        <f aca="false">$H$3*MAX(0,P$26-$K$3)</f>
        <v>5916.22266666667</v>
      </c>
      <c r="Q32" s="20" t="n">
        <f aca="false">$H$3*MAX(0,Q$26-$K$3)</f>
        <v>6196.22266666667</v>
      </c>
      <c r="R32" s="20" t="n">
        <f aca="false">$H$3*MAX(0,R$26-$K$3)</f>
        <v>6756.27866666667</v>
      </c>
      <c r="S32" s="20" t="n">
        <f aca="false">$H$3*MAX(0,S$26-$K$3)</f>
        <v>7596.27866666667</v>
      </c>
      <c r="T32" s="20" t="n">
        <f aca="false">$H$3*MAX(0,T$26-$K$3)</f>
        <v>8622.92666666667</v>
      </c>
      <c r="AG32" s="20" t="n">
        <f aca="false">SUM(I32:T32)</f>
        <v>43352.82</v>
      </c>
    </row>
    <row r="33" customFormat="false" ht="15" hidden="false" customHeight="false" outlineLevel="0" collapsed="false">
      <c r="A33" s="19" t="s">
        <v>152</v>
      </c>
      <c r="I33" s="20" t="n">
        <f aca="false">$H$3*MAX(0,I$27-$K$3)</f>
        <v>2969.13166666667</v>
      </c>
      <c r="J33" s="20" t="n">
        <f aca="false">$H$3*MAX(0,J$27-$K$3)</f>
        <v>3144.13166666667</v>
      </c>
      <c r="K33" s="20" t="n">
        <f aca="false">$H$3*MAX(0,K$27-$K$3)</f>
        <v>3669.23666666667</v>
      </c>
      <c r="L33" s="20" t="n">
        <f aca="false">$H$3*MAX(0,L$27-$K$3)</f>
        <v>6294.23666666667</v>
      </c>
      <c r="M33" s="20" t="n">
        <f aca="false">$H$3*MAX(0,M$27-$K$3)</f>
        <v>7810.89166666667</v>
      </c>
      <c r="N33" s="20" t="n">
        <f aca="false">$H$3*MAX(0,N$27-$K$3)</f>
        <v>8160.89166666667</v>
      </c>
      <c r="O33" s="20" t="n">
        <f aca="false">$H$3*MAX(0,O$27-$K$3)</f>
        <v>11660.9266666667</v>
      </c>
      <c r="P33" s="20" t="n">
        <f aca="false">$H$3*MAX(0,P$27-$K$3)</f>
        <v>13294.2366666667</v>
      </c>
      <c r="Q33" s="20" t="n">
        <f aca="false">$H$3*MAX(0,Q$27-$K$3)</f>
        <v>13644.2366666667</v>
      </c>
      <c r="R33" s="20" t="n">
        <f aca="false">$H$3*MAX(0,R$27-$K$3)</f>
        <v>14344.3066666667</v>
      </c>
      <c r="S33" s="20" t="n">
        <f aca="false">$H$3*MAX(0,S$27-$K$3)</f>
        <v>15394.3066666667</v>
      </c>
      <c r="T33" s="20" t="n">
        <f aca="false">$H$3*MAX(0,T$27-$K$3)</f>
        <v>16677.6166666667</v>
      </c>
      <c r="AG33" s="20" t="n">
        <f aca="false">SUM(I33:T33)</f>
        <v>117064.15</v>
      </c>
    </row>
    <row r="34" customFormat="false" ht="15" hidden="false" customHeight="false" outlineLevel="0" collapsed="false">
      <c r="A34" s="29" t="s">
        <v>153</v>
      </c>
      <c r="I34" s="30" t="n">
        <f aca="false">I28+I30+I32</f>
        <v>30932.968</v>
      </c>
      <c r="J34" s="30" t="n">
        <f aca="false">J28+J30+J32</f>
        <v>31092.968</v>
      </c>
      <c r="K34" s="30" t="n">
        <f aca="false">K28+K30+K32</f>
        <v>31573.064</v>
      </c>
      <c r="L34" s="30" t="n">
        <f aca="false">L28+L30+L32</f>
        <v>34289.2866666667</v>
      </c>
      <c r="M34" s="30" t="n">
        <f aca="false">M28+M30+M32</f>
        <v>36889.2666666667</v>
      </c>
      <c r="N34" s="30" t="n">
        <f aca="false">N28+N30+N32</f>
        <v>37489.2666666667</v>
      </c>
      <c r="O34" s="30" t="n">
        <f aca="false">O28+O30+O32</f>
        <v>43489.3266666667</v>
      </c>
      <c r="P34" s="30" t="n">
        <f aca="false">P28+P30+P32</f>
        <v>46289.2866666667</v>
      </c>
      <c r="Q34" s="30" t="n">
        <f aca="false">Q28+Q30+Q32</f>
        <v>46889.2866666667</v>
      </c>
      <c r="R34" s="30" t="n">
        <f aca="false">R28+R30+R32</f>
        <v>48089.4066666667</v>
      </c>
      <c r="S34" s="30" t="n">
        <f aca="false">S28+S30+S32</f>
        <v>49889.4066666667</v>
      </c>
      <c r="T34" s="30" t="n">
        <f aca="false">T28+T30+T32</f>
        <v>52089.3666666667</v>
      </c>
      <c r="AG34" s="30" t="n">
        <f aca="false">SUM(I34:T34)</f>
        <v>489002.9</v>
      </c>
    </row>
    <row r="35" customFormat="false" ht="15" hidden="false" customHeight="false" outlineLevel="0" collapsed="false">
      <c r="A35" s="29" t="s">
        <v>154</v>
      </c>
      <c r="I35" s="30" t="n">
        <f aca="false">I29+I31+I33</f>
        <v>38954.0916666667</v>
      </c>
      <c r="J35" s="30" t="n">
        <f aca="false">J29+J31+J33</f>
        <v>39329.0916666667</v>
      </c>
      <c r="K35" s="30" t="n">
        <f aca="false">K29+K31+K33</f>
        <v>40454.3166666667</v>
      </c>
      <c r="L35" s="30" t="n">
        <f aca="false">L29+L31+L33</f>
        <v>46079.3166666667</v>
      </c>
      <c r="M35" s="30" t="n">
        <f aca="false">M29+M31+M33</f>
        <v>49329.2916666667</v>
      </c>
      <c r="N35" s="30" t="n">
        <f aca="false">N29+N31+N33</f>
        <v>50079.2916666667</v>
      </c>
      <c r="O35" s="30" t="n">
        <f aca="false">O29+O31+O33</f>
        <v>57579.3666666667</v>
      </c>
      <c r="P35" s="30" t="n">
        <f aca="false">P29+P31+P33</f>
        <v>61079.3166666667</v>
      </c>
      <c r="Q35" s="30" t="n">
        <f aca="false">Q29+Q31+Q33</f>
        <v>61829.3166666667</v>
      </c>
      <c r="R35" s="30" t="n">
        <f aca="false">R29+R31+R33</f>
        <v>63329.4666666667</v>
      </c>
      <c r="S35" s="30" t="n">
        <f aca="false">S29+S31+S33</f>
        <v>65579.4666666667</v>
      </c>
      <c r="T35" s="30" t="n">
        <f aca="false">T29+T31+T33</f>
        <v>68329.4166666667</v>
      </c>
      <c r="AG35" s="30" t="n">
        <f aca="false">SUM(I35:T35)</f>
        <v>641951.75</v>
      </c>
    </row>
    <row r="37" customFormat="false" ht="15" hidden="false" customHeight="false" outlineLevel="0" collapsed="false">
      <c r="A37" s="7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13" min="3" style="0" width="12"/>
    <col collapsed="false" customWidth="true" hidden="false" outlineLevel="0" max="25" min="14" style="0" width="7"/>
    <col collapsed="false" customWidth="true" hidden="false" outlineLevel="0" max="38" min="26" style="0" width="11"/>
  </cols>
  <sheetData>
    <row r="1" customFormat="false" ht="17.35" hidden="false" customHeight="false" outlineLevel="0" collapsed="false">
      <c r="A1" s="6" t="s">
        <v>156</v>
      </c>
    </row>
    <row r="2" customFormat="false" ht="15" hidden="false" customHeight="false" outlineLevel="0" collapsed="false">
      <c r="A2" s="7" t="s">
        <v>157</v>
      </c>
    </row>
    <row r="5" customFormat="false" ht="15" hidden="false" customHeight="false" outlineLevel="0" collapsed="false">
      <c r="A5" s="31" t="s">
        <v>158</v>
      </c>
      <c r="N5" s="12" t="n">
        <v>1</v>
      </c>
      <c r="O5" s="12" t="n">
        <v>2</v>
      </c>
      <c r="P5" s="12" t="n">
        <v>3</v>
      </c>
      <c r="Q5" s="12" t="n">
        <v>4</v>
      </c>
      <c r="R5" s="12" t="n">
        <v>5</v>
      </c>
      <c r="S5" s="12" t="n">
        <v>6</v>
      </c>
      <c r="T5" s="12" t="n">
        <v>7</v>
      </c>
      <c r="U5" s="12" t="n">
        <v>8</v>
      </c>
      <c r="V5" s="12" t="n">
        <v>9</v>
      </c>
      <c r="W5" s="12" t="n">
        <v>10</v>
      </c>
      <c r="X5" s="12" t="n">
        <v>11</v>
      </c>
      <c r="Y5" s="12" t="n">
        <v>12</v>
      </c>
      <c r="Z5" s="12" t="n">
        <v>1</v>
      </c>
      <c r="AA5" s="12" t="n">
        <v>2</v>
      </c>
      <c r="AB5" s="12" t="n">
        <v>3</v>
      </c>
      <c r="AC5" s="12" t="n">
        <v>4</v>
      </c>
      <c r="AD5" s="12" t="n">
        <v>5</v>
      </c>
      <c r="AE5" s="12" t="n">
        <v>6</v>
      </c>
      <c r="AF5" s="12" t="n">
        <v>7</v>
      </c>
      <c r="AG5" s="12" t="n">
        <v>8</v>
      </c>
      <c r="AH5" s="12" t="n">
        <v>9</v>
      </c>
      <c r="AI5" s="12" t="n">
        <v>10</v>
      </c>
      <c r="AJ5" s="12" t="n">
        <v>11</v>
      </c>
      <c r="AK5" s="12" t="n">
        <v>12</v>
      </c>
    </row>
    <row r="6" customFormat="false" ht="15" hidden="false" customHeight="false" outlineLevel="0" collapsed="false">
      <c r="A6" s="13" t="s">
        <v>159</v>
      </c>
      <c r="B6" s="13" t="s">
        <v>160</v>
      </c>
      <c r="C6" s="13" t="s">
        <v>161</v>
      </c>
      <c r="D6" s="13" t="s">
        <v>162</v>
      </c>
      <c r="E6" s="13" t="s">
        <v>163</v>
      </c>
      <c r="F6" s="13" t="s">
        <v>164</v>
      </c>
      <c r="G6" s="13" t="s">
        <v>165</v>
      </c>
      <c r="H6" s="13" t="s">
        <v>166</v>
      </c>
      <c r="I6" s="13" t="s">
        <v>167</v>
      </c>
      <c r="J6" s="13" t="s">
        <v>168</v>
      </c>
      <c r="K6" s="13" t="s">
        <v>169</v>
      </c>
      <c r="L6" s="13" t="s">
        <v>170</v>
      </c>
      <c r="M6" s="13" t="s">
        <v>171</v>
      </c>
      <c r="N6" s="13" t="s">
        <v>172</v>
      </c>
      <c r="O6" s="13" t="s">
        <v>173</v>
      </c>
      <c r="P6" s="13" t="s">
        <v>174</v>
      </c>
      <c r="Q6" s="13" t="s">
        <v>175</v>
      </c>
      <c r="R6" s="13" t="s">
        <v>176</v>
      </c>
      <c r="S6" s="13" t="s">
        <v>177</v>
      </c>
      <c r="T6" s="13" t="s">
        <v>178</v>
      </c>
      <c r="U6" s="13" t="s">
        <v>179</v>
      </c>
      <c r="V6" s="13" t="s">
        <v>180</v>
      </c>
      <c r="W6" s="13" t="s">
        <v>181</v>
      </c>
      <c r="X6" s="13" t="s">
        <v>182</v>
      </c>
      <c r="Y6" s="13" t="s">
        <v>183</v>
      </c>
      <c r="Z6" s="13" t="s">
        <v>184</v>
      </c>
      <c r="AA6" s="13" t="s">
        <v>185</v>
      </c>
      <c r="AB6" s="13" t="s">
        <v>186</v>
      </c>
      <c r="AC6" s="13" t="s">
        <v>187</v>
      </c>
      <c r="AD6" s="13" t="s">
        <v>188</v>
      </c>
      <c r="AE6" s="13" t="s">
        <v>189</v>
      </c>
      <c r="AF6" s="13" t="s">
        <v>190</v>
      </c>
      <c r="AG6" s="13" t="s">
        <v>191</v>
      </c>
      <c r="AH6" s="13" t="s">
        <v>192</v>
      </c>
      <c r="AI6" s="13" t="s">
        <v>193</v>
      </c>
      <c r="AJ6" s="13" t="s">
        <v>194</v>
      </c>
      <c r="AK6" s="13" t="s">
        <v>195</v>
      </c>
      <c r="AL6" s="13" t="s">
        <v>196</v>
      </c>
    </row>
    <row r="7" customFormat="false" ht="15" hidden="false" customHeight="false" outlineLevel="0" collapsed="false">
      <c r="A7" s="25" t="s">
        <v>64</v>
      </c>
      <c r="B7" s="25" t="s">
        <v>197</v>
      </c>
      <c r="C7" s="32" t="n">
        <v>27040</v>
      </c>
      <c r="D7" s="17" t="n">
        <f aca="false">IF($C7="",0,$C7/12)</f>
        <v>2253.33333333333</v>
      </c>
      <c r="E7" s="32" t="n">
        <v>0</v>
      </c>
      <c r="F7" s="33" t="n">
        <v>79.3</v>
      </c>
      <c r="G7" s="27" t="n">
        <v>0.01</v>
      </c>
      <c r="H7" s="17" t="n">
        <f aca="false">IF($C7="",0,$D7*(1+$G7)+$E7+$F7)</f>
        <v>2355.16666666667</v>
      </c>
      <c r="I7" s="32" t="n">
        <v>0</v>
      </c>
      <c r="J7" s="27" t="n">
        <v>0</v>
      </c>
      <c r="K7" s="21" t="n">
        <f aca="false">IFERROR(INDEX($B$56:$B$66,MATCH($A7,$A$56:$A$66,0)),0)</f>
        <v>0</v>
      </c>
      <c r="L7" s="25" t="n">
        <v>9</v>
      </c>
      <c r="M7" s="17" t="n">
        <f aca="false">IF($C7="",0,($D7+$I7+$D7*($J7+$K7))*(1+$G7)+$E7+$F7)</f>
        <v>2355.16666666667</v>
      </c>
      <c r="N7" s="26" t="n">
        <v>1</v>
      </c>
      <c r="O7" s="26" t="n">
        <v>1</v>
      </c>
      <c r="P7" s="26" t="n">
        <v>1</v>
      </c>
      <c r="Q7" s="26" t="n">
        <v>1</v>
      </c>
      <c r="R7" s="26" t="n">
        <v>1</v>
      </c>
      <c r="S7" s="26" t="n">
        <v>1</v>
      </c>
      <c r="T7" s="26" t="n">
        <v>1</v>
      </c>
      <c r="U7" s="26" t="n">
        <v>1</v>
      </c>
      <c r="V7" s="26" t="n">
        <v>1</v>
      </c>
      <c r="W7" s="26" t="n">
        <v>1</v>
      </c>
      <c r="X7" s="26" t="n">
        <v>1</v>
      </c>
      <c r="Y7" s="26" t="n">
        <v>1</v>
      </c>
      <c r="Z7" s="17" t="n">
        <f aca="false">IF(N7="",0,N7*IF(Z$5&gt;=$L7,$M7,$H7))</f>
        <v>2355.16666666667</v>
      </c>
      <c r="AA7" s="17" t="n">
        <f aca="false">IF(O7="",0,O7*IF(AA$5&gt;=$L7,$M7,$H7))</f>
        <v>2355.16666666667</v>
      </c>
      <c r="AB7" s="17" t="n">
        <f aca="false">IF(P7="",0,P7*IF(AB$5&gt;=$L7,$M7,$H7))</f>
        <v>2355.16666666667</v>
      </c>
      <c r="AC7" s="17" t="n">
        <f aca="false">IF(Q7="",0,Q7*IF(AC$5&gt;=$L7,$M7,$H7))</f>
        <v>2355.16666666667</v>
      </c>
      <c r="AD7" s="17" t="n">
        <f aca="false">IF(R7="",0,R7*IF(AD$5&gt;=$L7,$M7,$H7))</f>
        <v>2355.16666666667</v>
      </c>
      <c r="AE7" s="17" t="n">
        <f aca="false">IF(S7="",0,S7*IF(AE$5&gt;=$L7,$M7,$H7))</f>
        <v>2355.16666666667</v>
      </c>
      <c r="AF7" s="17" t="n">
        <f aca="false">IF(T7="",0,T7*IF(AF$5&gt;=$L7,$M7,$H7))</f>
        <v>2355.16666666667</v>
      </c>
      <c r="AG7" s="17" t="n">
        <f aca="false">IF(U7="",0,U7*IF(AG$5&gt;=$L7,$M7,$H7))</f>
        <v>2355.16666666667</v>
      </c>
      <c r="AH7" s="17" t="n">
        <f aca="false">IF(V7="",0,V7*IF(AH$5&gt;=$L7,$M7,$H7))</f>
        <v>2355.16666666667</v>
      </c>
      <c r="AI7" s="17" t="n">
        <f aca="false">IF(W7="",0,W7*IF(AI$5&gt;=$L7,$M7,$H7))</f>
        <v>2355.16666666667</v>
      </c>
      <c r="AJ7" s="17" t="n">
        <f aca="false">IF(X7="",0,X7*IF(AJ$5&gt;=$L7,$M7,$H7))</f>
        <v>2355.16666666667</v>
      </c>
      <c r="AK7" s="17" t="n">
        <f aca="false">IF(Y7="",0,Y7*IF(AK$5&gt;=$L7,$M7,$H7))</f>
        <v>2355.16666666667</v>
      </c>
      <c r="AL7" s="18" t="n">
        <f aca="false">SUM(Z7:AK7)</f>
        <v>28262</v>
      </c>
    </row>
    <row r="8" customFormat="false" ht="15" hidden="false" customHeight="false" outlineLevel="0" collapsed="false">
      <c r="A8" s="25" t="s">
        <v>65</v>
      </c>
      <c r="B8" s="25" t="s">
        <v>198</v>
      </c>
      <c r="C8" s="32" t="n">
        <v>60000</v>
      </c>
      <c r="D8" s="17" t="n">
        <f aca="false">IF($C8="",0,$C8/12)</f>
        <v>5000</v>
      </c>
      <c r="E8" s="32" t="n">
        <v>523.5</v>
      </c>
      <c r="F8" s="33" t="n">
        <v>182.72</v>
      </c>
      <c r="G8" s="27" t="n">
        <v>0.01</v>
      </c>
      <c r="H8" s="17" t="n">
        <f aca="false">IF($C8="",0,$D8*(1+$G8)+$E8+$F8)</f>
        <v>5756.22</v>
      </c>
      <c r="I8" s="32" t="n">
        <v>0</v>
      </c>
      <c r="J8" s="27" t="n">
        <v>0</v>
      </c>
      <c r="K8" s="21" t="n">
        <f aca="false">IFERROR(INDEX($B$56:$B$66,MATCH($A8,$A$56:$A$66,0)),0)</f>
        <v>0</v>
      </c>
      <c r="L8" s="25" t="n">
        <v>9</v>
      </c>
      <c r="M8" s="17" t="n">
        <f aca="false">IF($C8="",0,($D8+$I8+$D8*($J8+$K8))*(1+$G8)+$E8+$F8)</f>
        <v>5756.22</v>
      </c>
      <c r="N8" s="26" t="n">
        <v>1</v>
      </c>
      <c r="O8" s="26" t="n">
        <v>1</v>
      </c>
      <c r="P8" s="26" t="n">
        <v>1</v>
      </c>
      <c r="Q8" s="26" t="n">
        <v>1</v>
      </c>
      <c r="R8" s="26" t="n">
        <v>1</v>
      </c>
      <c r="S8" s="26" t="n">
        <v>1</v>
      </c>
      <c r="T8" s="26" t="n">
        <v>1</v>
      </c>
      <c r="U8" s="26" t="n">
        <v>1</v>
      </c>
      <c r="V8" s="26" t="n">
        <v>1</v>
      </c>
      <c r="W8" s="26" t="n">
        <v>1</v>
      </c>
      <c r="X8" s="26" t="n">
        <v>1</v>
      </c>
      <c r="Y8" s="26" t="n">
        <v>1</v>
      </c>
      <c r="Z8" s="17" t="n">
        <f aca="false">IF(N8="",0,N8*IF(Z$5&gt;=$L8,$M8,$H8))</f>
        <v>5756.22</v>
      </c>
      <c r="AA8" s="17" t="n">
        <f aca="false">IF(O8="",0,O8*IF(AA$5&gt;=$L8,$M8,$H8))</f>
        <v>5756.22</v>
      </c>
      <c r="AB8" s="17" t="n">
        <f aca="false">IF(P8="",0,P8*IF(AB$5&gt;=$L8,$M8,$H8))</f>
        <v>5756.22</v>
      </c>
      <c r="AC8" s="17" t="n">
        <f aca="false">IF(Q8="",0,Q8*IF(AC$5&gt;=$L8,$M8,$H8))</f>
        <v>5756.22</v>
      </c>
      <c r="AD8" s="17" t="n">
        <f aca="false">IF(R8="",0,R8*IF(AD$5&gt;=$L8,$M8,$H8))</f>
        <v>5756.22</v>
      </c>
      <c r="AE8" s="17" t="n">
        <f aca="false">IF(S8="",0,S8*IF(AE$5&gt;=$L8,$M8,$H8))</f>
        <v>5756.22</v>
      </c>
      <c r="AF8" s="17" t="n">
        <f aca="false">IF(T8="",0,T8*IF(AF$5&gt;=$L8,$M8,$H8))</f>
        <v>5756.22</v>
      </c>
      <c r="AG8" s="17" t="n">
        <f aca="false">IF(U8="",0,U8*IF(AG$5&gt;=$L8,$M8,$H8))</f>
        <v>5756.22</v>
      </c>
      <c r="AH8" s="17" t="n">
        <f aca="false">IF(V8="",0,V8*IF(AH$5&gt;=$L8,$M8,$H8))</f>
        <v>5756.22</v>
      </c>
      <c r="AI8" s="17" t="n">
        <f aca="false">IF(W8="",0,W8*IF(AI$5&gt;=$L8,$M8,$H8))</f>
        <v>5756.22</v>
      </c>
      <c r="AJ8" s="17" t="n">
        <f aca="false">IF(X8="",0,X8*IF(AJ$5&gt;=$L8,$M8,$H8))</f>
        <v>5756.22</v>
      </c>
      <c r="AK8" s="17" t="n">
        <f aca="false">IF(Y8="",0,Y8*IF(AK$5&gt;=$L8,$M8,$H8))</f>
        <v>5756.22</v>
      </c>
      <c r="AL8" s="18" t="n">
        <f aca="false">SUM(Z8:AK8)</f>
        <v>69074.64</v>
      </c>
    </row>
    <row r="9" customFormat="false" ht="15" hidden="false" customHeight="false" outlineLevel="0" collapsed="false">
      <c r="A9" s="25" t="s">
        <v>65</v>
      </c>
      <c r="B9" s="25" t="s">
        <v>199</v>
      </c>
      <c r="C9" s="32" t="n">
        <v>46800</v>
      </c>
      <c r="D9" s="17" t="n">
        <f aca="false">IF($C9="",0,$C9/12)</f>
        <v>3900</v>
      </c>
      <c r="E9" s="32" t="n">
        <v>523.5</v>
      </c>
      <c r="F9" s="33" t="n">
        <v>171.64</v>
      </c>
      <c r="G9" s="27" t="n">
        <v>0.01</v>
      </c>
      <c r="H9" s="17" t="n">
        <f aca="false">IF($C9="",0,$D9*(1+$G9)+$E9+$F9)</f>
        <v>4634.14</v>
      </c>
      <c r="I9" s="32" t="n">
        <v>0</v>
      </c>
      <c r="J9" s="27" t="n">
        <v>0</v>
      </c>
      <c r="K9" s="21" t="n">
        <f aca="false">IFERROR(INDEX($B$56:$B$66,MATCH($A9,$A$56:$A$66,0)),0)</f>
        <v>0</v>
      </c>
      <c r="L9" s="25" t="n">
        <v>9</v>
      </c>
      <c r="M9" s="17" t="n">
        <f aca="false">IF($C9="",0,($D9+$I9+$D9*($J9+$K9))*(1+$G9)+$E9+$F9)</f>
        <v>4634.14</v>
      </c>
      <c r="N9" s="26" t="n">
        <v>4</v>
      </c>
      <c r="O9" s="26" t="n">
        <v>4</v>
      </c>
      <c r="P9" s="26" t="n">
        <v>4</v>
      </c>
      <c r="Q9" s="26" t="n">
        <v>4</v>
      </c>
      <c r="R9" s="26" t="n">
        <v>4</v>
      </c>
      <c r="S9" s="26" t="n">
        <v>4</v>
      </c>
      <c r="T9" s="26" t="n">
        <v>4</v>
      </c>
      <c r="U9" s="26" t="n">
        <v>4</v>
      </c>
      <c r="V9" s="26" t="n">
        <v>4</v>
      </c>
      <c r="W9" s="26" t="n">
        <v>4</v>
      </c>
      <c r="X9" s="26" t="n">
        <v>4</v>
      </c>
      <c r="Y9" s="26" t="n">
        <v>4</v>
      </c>
      <c r="Z9" s="17" t="n">
        <f aca="false">IF(N9="",0,N9*IF(Z$5&gt;=$L9,$M9,$H9))</f>
        <v>18536.56</v>
      </c>
      <c r="AA9" s="17" t="n">
        <f aca="false">IF(O9="",0,O9*IF(AA$5&gt;=$L9,$M9,$H9))</f>
        <v>18536.56</v>
      </c>
      <c r="AB9" s="17" t="n">
        <f aca="false">IF(P9="",0,P9*IF(AB$5&gt;=$L9,$M9,$H9))</f>
        <v>18536.56</v>
      </c>
      <c r="AC9" s="17" t="n">
        <f aca="false">IF(Q9="",0,Q9*IF(AC$5&gt;=$L9,$M9,$H9))</f>
        <v>18536.56</v>
      </c>
      <c r="AD9" s="17" t="n">
        <f aca="false">IF(R9="",0,R9*IF(AD$5&gt;=$L9,$M9,$H9))</f>
        <v>18536.56</v>
      </c>
      <c r="AE9" s="17" t="n">
        <f aca="false">IF(S9="",0,S9*IF(AE$5&gt;=$L9,$M9,$H9))</f>
        <v>18536.56</v>
      </c>
      <c r="AF9" s="17" t="n">
        <f aca="false">IF(T9="",0,T9*IF(AF$5&gt;=$L9,$M9,$H9))</f>
        <v>18536.56</v>
      </c>
      <c r="AG9" s="17" t="n">
        <f aca="false">IF(U9="",0,U9*IF(AG$5&gt;=$L9,$M9,$H9))</f>
        <v>18536.56</v>
      </c>
      <c r="AH9" s="17" t="n">
        <f aca="false">IF(V9="",0,V9*IF(AH$5&gt;=$L9,$M9,$H9))</f>
        <v>18536.56</v>
      </c>
      <c r="AI9" s="17" t="n">
        <f aca="false">IF(W9="",0,W9*IF(AI$5&gt;=$L9,$M9,$H9))</f>
        <v>18536.56</v>
      </c>
      <c r="AJ9" s="17" t="n">
        <f aca="false">IF(X9="",0,X9*IF(AJ$5&gt;=$L9,$M9,$H9))</f>
        <v>18536.56</v>
      </c>
      <c r="AK9" s="17" t="n">
        <f aca="false">IF(Y9="",0,Y9*IF(AK$5&gt;=$L9,$M9,$H9))</f>
        <v>18536.56</v>
      </c>
      <c r="AL9" s="18" t="n">
        <f aca="false">SUM(Z9:AK9)</f>
        <v>222438.72</v>
      </c>
    </row>
    <row r="10" customFormat="false" ht="15" hidden="false" customHeight="false" outlineLevel="0" collapsed="false">
      <c r="A10" s="25" t="s">
        <v>65</v>
      </c>
      <c r="B10" s="25" t="s">
        <v>200</v>
      </c>
      <c r="C10" s="32" t="n">
        <v>43680</v>
      </c>
      <c r="D10" s="17" t="n">
        <f aca="false">IF($C10="",0,$C10/12)</f>
        <v>3640</v>
      </c>
      <c r="E10" s="32" t="n">
        <v>523.5</v>
      </c>
      <c r="F10" s="33" t="n">
        <v>219.5</v>
      </c>
      <c r="G10" s="27" t="n">
        <v>0.01</v>
      </c>
      <c r="H10" s="17" t="n">
        <f aca="false">IF($C10="",0,$D10*(1+$G10)+$E10+$F10)</f>
        <v>4419.4</v>
      </c>
      <c r="I10" s="32" t="n">
        <v>0</v>
      </c>
      <c r="J10" s="27" t="n">
        <v>0</v>
      </c>
      <c r="K10" s="21" t="n">
        <f aca="false">IFERROR(INDEX($B$56:$B$66,MATCH($A10,$A$56:$A$66,0)),0)</f>
        <v>0</v>
      </c>
      <c r="L10" s="25" t="n">
        <v>9</v>
      </c>
      <c r="M10" s="17" t="n">
        <f aca="false">IF($C10="",0,($D10+$I10+$D10*($J10+$K10))*(1+$G10)+$E10+$F10)</f>
        <v>4419.4</v>
      </c>
      <c r="N10" s="26" t="n">
        <v>3</v>
      </c>
      <c r="O10" s="26" t="n">
        <v>3</v>
      </c>
      <c r="P10" s="26" t="n">
        <v>3</v>
      </c>
      <c r="Q10" s="26" t="n">
        <v>3</v>
      </c>
      <c r="R10" s="26" t="n">
        <v>3</v>
      </c>
      <c r="S10" s="26" t="n">
        <v>3</v>
      </c>
      <c r="T10" s="26" t="n">
        <v>3</v>
      </c>
      <c r="U10" s="26" t="n">
        <v>3</v>
      </c>
      <c r="V10" s="26" t="n">
        <v>3</v>
      </c>
      <c r="W10" s="26" t="n">
        <v>3</v>
      </c>
      <c r="X10" s="26" t="n">
        <v>3</v>
      </c>
      <c r="Y10" s="26" t="n">
        <v>3</v>
      </c>
      <c r="Z10" s="17" t="n">
        <f aca="false">IF(N10="",0,N10*IF(Z$5&gt;=$L10,$M10,$H10))</f>
        <v>13258.2</v>
      </c>
      <c r="AA10" s="17" t="n">
        <f aca="false">IF(O10="",0,O10*IF(AA$5&gt;=$L10,$M10,$H10))</f>
        <v>13258.2</v>
      </c>
      <c r="AB10" s="17" t="n">
        <f aca="false">IF(P10="",0,P10*IF(AB$5&gt;=$L10,$M10,$H10))</f>
        <v>13258.2</v>
      </c>
      <c r="AC10" s="17" t="n">
        <f aca="false">IF(Q10="",0,Q10*IF(AC$5&gt;=$L10,$M10,$H10))</f>
        <v>13258.2</v>
      </c>
      <c r="AD10" s="17" t="n">
        <f aca="false">IF(R10="",0,R10*IF(AD$5&gt;=$L10,$M10,$H10))</f>
        <v>13258.2</v>
      </c>
      <c r="AE10" s="17" t="n">
        <f aca="false">IF(S10="",0,S10*IF(AE$5&gt;=$L10,$M10,$H10))</f>
        <v>13258.2</v>
      </c>
      <c r="AF10" s="17" t="n">
        <f aca="false">IF(T10="",0,T10*IF(AF$5&gt;=$L10,$M10,$H10))</f>
        <v>13258.2</v>
      </c>
      <c r="AG10" s="17" t="n">
        <f aca="false">IF(U10="",0,U10*IF(AG$5&gt;=$L10,$M10,$H10))</f>
        <v>13258.2</v>
      </c>
      <c r="AH10" s="17" t="n">
        <f aca="false">IF(V10="",0,V10*IF(AH$5&gt;=$L10,$M10,$H10))</f>
        <v>13258.2</v>
      </c>
      <c r="AI10" s="17" t="n">
        <f aca="false">IF(W10="",0,W10*IF(AI$5&gt;=$L10,$M10,$H10))</f>
        <v>13258.2</v>
      </c>
      <c r="AJ10" s="17" t="n">
        <f aca="false">IF(X10="",0,X10*IF(AJ$5&gt;=$L10,$M10,$H10))</f>
        <v>13258.2</v>
      </c>
      <c r="AK10" s="17" t="n">
        <f aca="false">IF(Y10="",0,Y10*IF(AK$5&gt;=$L10,$M10,$H10))</f>
        <v>13258.2</v>
      </c>
      <c r="AL10" s="18" t="n">
        <f aca="false">SUM(Z10:AK10)</f>
        <v>159098.4</v>
      </c>
    </row>
    <row r="11" customFormat="false" ht="15" hidden="false" customHeight="false" outlineLevel="0" collapsed="false">
      <c r="A11" s="25" t="s">
        <v>64</v>
      </c>
      <c r="B11" s="25" t="s">
        <v>201</v>
      </c>
      <c r="C11" s="32" t="n">
        <v>90000</v>
      </c>
      <c r="D11" s="17" t="n">
        <f aca="false">IF($C11="",0,$C11/12)</f>
        <v>7500</v>
      </c>
      <c r="E11" s="32" t="n">
        <v>523.5</v>
      </c>
      <c r="F11" s="33" t="n">
        <v>74.14</v>
      </c>
      <c r="G11" s="27" t="n">
        <v>0.01</v>
      </c>
      <c r="H11" s="17" t="n">
        <f aca="false">IF($C11="",0,$D11*(1+$G11)+$E11+$F11)</f>
        <v>8172.64</v>
      </c>
      <c r="I11" s="32" t="n">
        <v>0</v>
      </c>
      <c r="J11" s="27" t="n">
        <v>0</v>
      </c>
      <c r="K11" s="21" t="n">
        <f aca="false">IFERROR(INDEX($B$56:$B$66,MATCH($A11,$A$56:$A$66,0)),0)</f>
        <v>0</v>
      </c>
      <c r="L11" s="25" t="n">
        <v>9</v>
      </c>
      <c r="M11" s="17" t="n">
        <f aca="false">IF($C11="",0,($D11+$I11+$D11*($J11+$K11))*(1+$G11)+$E11+$F11)</f>
        <v>8172.64</v>
      </c>
      <c r="N11" s="26" t="n">
        <v>1</v>
      </c>
      <c r="O11" s="26" t="n">
        <v>1</v>
      </c>
      <c r="P11" s="26" t="n">
        <v>1</v>
      </c>
      <c r="Q11" s="26" t="n">
        <v>1</v>
      </c>
      <c r="R11" s="26" t="n">
        <v>1</v>
      </c>
      <c r="S11" s="26" t="n">
        <v>1</v>
      </c>
      <c r="T11" s="26" t="n">
        <v>1</v>
      </c>
      <c r="U11" s="26" t="n">
        <v>1</v>
      </c>
      <c r="V11" s="26" t="n">
        <v>1</v>
      </c>
      <c r="W11" s="26" t="n">
        <v>1</v>
      </c>
      <c r="X11" s="26" t="n">
        <v>1</v>
      </c>
      <c r="Y11" s="26" t="n">
        <v>1</v>
      </c>
      <c r="Z11" s="17" t="n">
        <f aca="false">IF(N11="",0,N11*IF(Z$5&gt;=$L11,$M11,$H11))</f>
        <v>8172.64</v>
      </c>
      <c r="AA11" s="17" t="n">
        <f aca="false">IF(O11="",0,O11*IF(AA$5&gt;=$L11,$M11,$H11))</f>
        <v>8172.64</v>
      </c>
      <c r="AB11" s="17" t="n">
        <f aca="false">IF(P11="",0,P11*IF(AB$5&gt;=$L11,$M11,$H11))</f>
        <v>8172.64</v>
      </c>
      <c r="AC11" s="17" t="n">
        <f aca="false">IF(Q11="",0,Q11*IF(AC$5&gt;=$L11,$M11,$H11))</f>
        <v>8172.64</v>
      </c>
      <c r="AD11" s="17" t="n">
        <f aca="false">IF(R11="",0,R11*IF(AD$5&gt;=$L11,$M11,$H11))</f>
        <v>8172.64</v>
      </c>
      <c r="AE11" s="17" t="n">
        <f aca="false">IF(S11="",0,S11*IF(AE$5&gt;=$L11,$M11,$H11))</f>
        <v>8172.64</v>
      </c>
      <c r="AF11" s="17" t="n">
        <f aca="false">IF(T11="",0,T11*IF(AF$5&gt;=$L11,$M11,$H11))</f>
        <v>8172.64</v>
      </c>
      <c r="AG11" s="17" t="n">
        <f aca="false">IF(U11="",0,U11*IF(AG$5&gt;=$L11,$M11,$H11))</f>
        <v>8172.64</v>
      </c>
      <c r="AH11" s="17" t="n">
        <f aca="false">IF(V11="",0,V11*IF(AH$5&gt;=$L11,$M11,$H11))</f>
        <v>8172.64</v>
      </c>
      <c r="AI11" s="17" t="n">
        <f aca="false">IF(W11="",0,W11*IF(AI$5&gt;=$L11,$M11,$H11))</f>
        <v>8172.64</v>
      </c>
      <c r="AJ11" s="17" t="n">
        <f aca="false">IF(X11="",0,X11*IF(AJ$5&gt;=$L11,$M11,$H11))</f>
        <v>8172.64</v>
      </c>
      <c r="AK11" s="17" t="n">
        <f aca="false">IF(Y11="",0,Y11*IF(AK$5&gt;=$L11,$M11,$H11))</f>
        <v>8172.64</v>
      </c>
      <c r="AL11" s="18" t="n">
        <f aca="false">SUM(Z11:AK11)</f>
        <v>98071.68</v>
      </c>
    </row>
    <row r="12" customFormat="false" ht="15" hidden="false" customHeight="false" outlineLevel="0" collapsed="false">
      <c r="A12" s="25" t="s">
        <v>64</v>
      </c>
      <c r="B12" s="25" t="s">
        <v>202</v>
      </c>
      <c r="C12" s="32" t="n">
        <v>78000</v>
      </c>
      <c r="D12" s="17" t="n">
        <f aca="false">IF($C12="",0,$C12/12)</f>
        <v>6500</v>
      </c>
      <c r="E12" s="32" t="n">
        <v>523.5</v>
      </c>
      <c r="F12" s="33" t="n">
        <v>74.14</v>
      </c>
      <c r="G12" s="27" t="n">
        <v>0.01</v>
      </c>
      <c r="H12" s="17" t="n">
        <f aca="false">IF($C12="",0,$D12*(1+$G12)+$E12+$F12)</f>
        <v>7162.64</v>
      </c>
      <c r="I12" s="32" t="n">
        <v>0</v>
      </c>
      <c r="J12" s="27" t="n">
        <v>0</v>
      </c>
      <c r="K12" s="21" t="n">
        <f aca="false">IFERROR(INDEX($B$56:$B$66,MATCH($A12,$A$56:$A$66,0)),0)</f>
        <v>0</v>
      </c>
      <c r="L12" s="25" t="n">
        <v>9</v>
      </c>
      <c r="M12" s="17" t="n">
        <f aca="false">IF($C12="",0,($D12+$I12+$D12*($J12+$K12))*(1+$G12)+$E12+$F12)</f>
        <v>7162.64</v>
      </c>
      <c r="N12" s="26" t="n">
        <v>1</v>
      </c>
      <c r="O12" s="26" t="n">
        <v>1</v>
      </c>
      <c r="P12" s="26" t="n">
        <v>1</v>
      </c>
      <c r="Q12" s="26" t="n">
        <v>1</v>
      </c>
      <c r="R12" s="26" t="n">
        <v>1</v>
      </c>
      <c r="S12" s="26" t="n">
        <v>1</v>
      </c>
      <c r="T12" s="26" t="n">
        <v>1</v>
      </c>
      <c r="U12" s="26" t="n">
        <v>1</v>
      </c>
      <c r="V12" s="26" t="n">
        <v>1</v>
      </c>
      <c r="W12" s="26" t="n">
        <v>1</v>
      </c>
      <c r="X12" s="26" t="n">
        <v>1</v>
      </c>
      <c r="Y12" s="26" t="n">
        <v>1</v>
      </c>
      <c r="Z12" s="17" t="n">
        <f aca="false">IF(N12="",0,N12*IF(Z$5&gt;=$L12,$M12,$H12))</f>
        <v>7162.64</v>
      </c>
      <c r="AA12" s="17" t="n">
        <f aca="false">IF(O12="",0,O12*IF(AA$5&gt;=$L12,$M12,$H12))</f>
        <v>7162.64</v>
      </c>
      <c r="AB12" s="17" t="n">
        <f aca="false">IF(P12="",0,P12*IF(AB$5&gt;=$L12,$M12,$H12))</f>
        <v>7162.64</v>
      </c>
      <c r="AC12" s="17" t="n">
        <f aca="false">IF(Q12="",0,Q12*IF(AC$5&gt;=$L12,$M12,$H12))</f>
        <v>7162.64</v>
      </c>
      <c r="AD12" s="17" t="n">
        <f aca="false">IF(R12="",0,R12*IF(AD$5&gt;=$L12,$M12,$H12))</f>
        <v>7162.64</v>
      </c>
      <c r="AE12" s="17" t="n">
        <f aca="false">IF(S12="",0,S12*IF(AE$5&gt;=$L12,$M12,$H12))</f>
        <v>7162.64</v>
      </c>
      <c r="AF12" s="17" t="n">
        <f aca="false">IF(T12="",0,T12*IF(AF$5&gt;=$L12,$M12,$H12))</f>
        <v>7162.64</v>
      </c>
      <c r="AG12" s="17" t="n">
        <f aca="false">IF(U12="",0,U12*IF(AG$5&gt;=$L12,$M12,$H12))</f>
        <v>7162.64</v>
      </c>
      <c r="AH12" s="17" t="n">
        <f aca="false">IF(V12="",0,V12*IF(AH$5&gt;=$L12,$M12,$H12))</f>
        <v>7162.64</v>
      </c>
      <c r="AI12" s="17" t="n">
        <f aca="false">IF(W12="",0,W12*IF(AI$5&gt;=$L12,$M12,$H12))</f>
        <v>7162.64</v>
      </c>
      <c r="AJ12" s="17" t="n">
        <f aca="false">IF(X12="",0,X12*IF(AJ$5&gt;=$L12,$M12,$H12))</f>
        <v>7162.64</v>
      </c>
      <c r="AK12" s="17" t="n">
        <f aca="false">IF(Y12="",0,Y12*IF(AK$5&gt;=$L12,$M12,$H12))</f>
        <v>7162.64</v>
      </c>
      <c r="AL12" s="18" t="n">
        <f aca="false">SUM(Z12:AK12)</f>
        <v>85951.68</v>
      </c>
    </row>
    <row r="13" customFormat="false" ht="15" hidden="false" customHeight="false" outlineLevel="0" collapsed="false">
      <c r="A13" s="25" t="s">
        <v>64</v>
      </c>
      <c r="B13" s="25" t="s">
        <v>203</v>
      </c>
      <c r="C13" s="32" t="n">
        <v>75000</v>
      </c>
      <c r="D13" s="17" t="n">
        <f aca="false">IF($C13="",0,$C13/12)</f>
        <v>6250</v>
      </c>
      <c r="E13" s="32" t="n">
        <v>523.5</v>
      </c>
      <c r="F13" s="33" t="n">
        <v>74.14</v>
      </c>
      <c r="G13" s="27" t="n">
        <v>0.01</v>
      </c>
      <c r="H13" s="17" t="n">
        <f aca="false">IF($C13="",0,$D13*(1+$G13)+$E13+$F13)</f>
        <v>6910.14</v>
      </c>
      <c r="I13" s="32" t="n">
        <v>0</v>
      </c>
      <c r="J13" s="27" t="n">
        <v>0</v>
      </c>
      <c r="K13" s="21" t="n">
        <f aca="false">IFERROR(INDEX($B$56:$B$66,MATCH($A13,$A$56:$A$66,0)),0)</f>
        <v>0</v>
      </c>
      <c r="L13" s="25" t="n">
        <v>9</v>
      </c>
      <c r="M13" s="17" t="n">
        <f aca="false">IF($C13="",0,($D13+$I13+$D13*($J13+$K13))*(1+$G13)+$E13+$F13)</f>
        <v>6910.14</v>
      </c>
      <c r="N13" s="26" t="n">
        <v>1</v>
      </c>
      <c r="O13" s="26" t="n">
        <v>1</v>
      </c>
      <c r="P13" s="26" t="n">
        <v>1</v>
      </c>
      <c r="Q13" s="26" t="n">
        <v>1</v>
      </c>
      <c r="R13" s="26" t="n">
        <v>1</v>
      </c>
      <c r="S13" s="26" t="n">
        <v>1</v>
      </c>
      <c r="T13" s="26" t="n">
        <v>1</v>
      </c>
      <c r="U13" s="26" t="n">
        <v>1</v>
      </c>
      <c r="V13" s="26" t="n">
        <v>1</v>
      </c>
      <c r="W13" s="26" t="n">
        <v>1</v>
      </c>
      <c r="X13" s="26" t="n">
        <v>1</v>
      </c>
      <c r="Y13" s="26" t="n">
        <v>1</v>
      </c>
      <c r="Z13" s="17" t="n">
        <f aca="false">IF(N13="",0,N13*IF(Z$5&gt;=$L13,$M13,$H13))</f>
        <v>6910.14</v>
      </c>
      <c r="AA13" s="17" t="n">
        <f aca="false">IF(O13="",0,O13*IF(AA$5&gt;=$L13,$M13,$H13))</f>
        <v>6910.14</v>
      </c>
      <c r="AB13" s="17" t="n">
        <f aca="false">IF(P13="",0,P13*IF(AB$5&gt;=$L13,$M13,$H13))</f>
        <v>6910.14</v>
      </c>
      <c r="AC13" s="17" t="n">
        <f aca="false">IF(Q13="",0,Q13*IF(AC$5&gt;=$L13,$M13,$H13))</f>
        <v>6910.14</v>
      </c>
      <c r="AD13" s="17" t="n">
        <f aca="false">IF(R13="",0,R13*IF(AD$5&gt;=$L13,$M13,$H13))</f>
        <v>6910.14</v>
      </c>
      <c r="AE13" s="17" t="n">
        <f aca="false">IF(S13="",0,S13*IF(AE$5&gt;=$L13,$M13,$H13))</f>
        <v>6910.14</v>
      </c>
      <c r="AF13" s="17" t="n">
        <f aca="false">IF(T13="",0,T13*IF(AF$5&gt;=$L13,$M13,$H13))</f>
        <v>6910.14</v>
      </c>
      <c r="AG13" s="17" t="n">
        <f aca="false">IF(U13="",0,U13*IF(AG$5&gt;=$L13,$M13,$H13))</f>
        <v>6910.14</v>
      </c>
      <c r="AH13" s="17" t="n">
        <f aca="false">IF(V13="",0,V13*IF(AH$5&gt;=$L13,$M13,$H13))</f>
        <v>6910.14</v>
      </c>
      <c r="AI13" s="17" t="n">
        <f aca="false">IF(W13="",0,W13*IF(AI$5&gt;=$L13,$M13,$H13))</f>
        <v>6910.14</v>
      </c>
      <c r="AJ13" s="17" t="n">
        <f aca="false">IF(X13="",0,X13*IF(AJ$5&gt;=$L13,$M13,$H13))</f>
        <v>6910.14</v>
      </c>
      <c r="AK13" s="17" t="n">
        <f aca="false">IF(Y13="",0,Y13*IF(AK$5&gt;=$L13,$M13,$H13))</f>
        <v>6910.14</v>
      </c>
      <c r="AL13" s="18" t="n">
        <f aca="false">SUM(Z13:AK13)</f>
        <v>82921.68</v>
      </c>
    </row>
    <row r="14" customFormat="false" ht="15" hidden="false" customHeight="false" outlineLevel="0" collapsed="false">
      <c r="A14" s="25" t="s">
        <v>64</v>
      </c>
      <c r="B14" s="25" t="s">
        <v>204</v>
      </c>
      <c r="C14" s="32" t="n">
        <v>62000</v>
      </c>
      <c r="D14" s="17" t="n">
        <f aca="false">IF($C14="",0,$C14/12)</f>
        <v>5166.66666666667</v>
      </c>
      <c r="E14" s="32" t="n">
        <v>523.5</v>
      </c>
      <c r="F14" s="33" t="n">
        <v>122</v>
      </c>
      <c r="G14" s="27" t="n">
        <v>0.01</v>
      </c>
      <c r="H14" s="17" t="n">
        <f aca="false">IF($C14="",0,$D14*(1+$G14)+$E14+$F14)</f>
        <v>5863.83333333333</v>
      </c>
      <c r="I14" s="32" t="n">
        <v>0</v>
      </c>
      <c r="J14" s="27" t="n">
        <v>0</v>
      </c>
      <c r="K14" s="21" t="n">
        <f aca="false">IFERROR(INDEX($B$56:$B$66,MATCH($A14,$A$56:$A$66,0)),0)</f>
        <v>0</v>
      </c>
      <c r="L14" s="25" t="n">
        <v>9</v>
      </c>
      <c r="M14" s="17" t="n">
        <f aca="false">IF($C14="",0,($D14+$I14+$D14*($J14+$K14))*(1+$G14)+$E14+$F14)</f>
        <v>5863.83333333333</v>
      </c>
      <c r="N14" s="26" t="n">
        <v>1</v>
      </c>
      <c r="O14" s="26" t="n">
        <v>1</v>
      </c>
      <c r="P14" s="26" t="n">
        <v>1</v>
      </c>
      <c r="Q14" s="26" t="n">
        <v>1</v>
      </c>
      <c r="R14" s="26" t="n">
        <v>1</v>
      </c>
      <c r="S14" s="26" t="n">
        <v>1</v>
      </c>
      <c r="T14" s="26" t="n">
        <v>1</v>
      </c>
      <c r="U14" s="26" t="n">
        <v>1</v>
      </c>
      <c r="V14" s="26" t="n">
        <v>1</v>
      </c>
      <c r="W14" s="26" t="n">
        <v>1</v>
      </c>
      <c r="X14" s="26" t="n">
        <v>1</v>
      </c>
      <c r="Y14" s="26" t="n">
        <v>1</v>
      </c>
      <c r="Z14" s="17" t="n">
        <f aca="false">IF(N14="",0,N14*IF(Z$5&gt;=$L14,$M14,$H14))</f>
        <v>5863.83333333333</v>
      </c>
      <c r="AA14" s="17" t="n">
        <f aca="false">IF(O14="",0,O14*IF(AA$5&gt;=$L14,$M14,$H14))</f>
        <v>5863.83333333333</v>
      </c>
      <c r="AB14" s="17" t="n">
        <f aca="false">IF(P14="",0,P14*IF(AB$5&gt;=$L14,$M14,$H14))</f>
        <v>5863.83333333333</v>
      </c>
      <c r="AC14" s="17" t="n">
        <f aca="false">IF(Q14="",0,Q14*IF(AC$5&gt;=$L14,$M14,$H14))</f>
        <v>5863.83333333333</v>
      </c>
      <c r="AD14" s="17" t="n">
        <f aca="false">IF(R14="",0,R14*IF(AD$5&gt;=$L14,$M14,$H14))</f>
        <v>5863.83333333333</v>
      </c>
      <c r="AE14" s="17" t="n">
        <f aca="false">IF(S14="",0,S14*IF(AE$5&gt;=$L14,$M14,$H14))</f>
        <v>5863.83333333333</v>
      </c>
      <c r="AF14" s="17" t="n">
        <f aca="false">IF(T14="",0,T14*IF(AF$5&gt;=$L14,$M14,$H14))</f>
        <v>5863.83333333333</v>
      </c>
      <c r="AG14" s="17" t="n">
        <f aca="false">IF(U14="",0,U14*IF(AG$5&gt;=$L14,$M14,$H14))</f>
        <v>5863.83333333333</v>
      </c>
      <c r="AH14" s="17" t="n">
        <f aca="false">IF(V14="",0,V14*IF(AH$5&gt;=$L14,$M14,$H14))</f>
        <v>5863.83333333333</v>
      </c>
      <c r="AI14" s="17" t="n">
        <f aca="false">IF(W14="",0,W14*IF(AI$5&gt;=$L14,$M14,$H14))</f>
        <v>5863.83333333333</v>
      </c>
      <c r="AJ14" s="17" t="n">
        <f aca="false">IF(X14="",0,X14*IF(AJ$5&gt;=$L14,$M14,$H14))</f>
        <v>5863.83333333333</v>
      </c>
      <c r="AK14" s="17" t="n">
        <f aca="false">IF(Y14="",0,Y14*IF(AK$5&gt;=$L14,$M14,$H14))</f>
        <v>5863.83333333333</v>
      </c>
      <c r="AL14" s="18" t="n">
        <f aca="false">SUM(Z14:AK14)</f>
        <v>70366</v>
      </c>
    </row>
    <row r="15" customFormat="false" ht="15" hidden="false" customHeight="false" outlineLevel="0" collapsed="false">
      <c r="A15" s="25" t="s">
        <v>64</v>
      </c>
      <c r="B15" s="25" t="s">
        <v>205</v>
      </c>
      <c r="C15" s="32" t="n">
        <v>50000</v>
      </c>
      <c r="D15" s="17" t="n">
        <f aca="false">IF($C15="",0,$C15/12)</f>
        <v>4166.66666666667</v>
      </c>
      <c r="E15" s="32" t="n">
        <v>523.5</v>
      </c>
      <c r="F15" s="33" t="n">
        <v>74.14</v>
      </c>
      <c r="G15" s="27" t="n">
        <v>0.01</v>
      </c>
      <c r="H15" s="17" t="n">
        <f aca="false">IF($C15="",0,$D15*(1+$G15)+$E15+$F15)</f>
        <v>4805.97333333333</v>
      </c>
      <c r="I15" s="32" t="n">
        <v>0</v>
      </c>
      <c r="J15" s="27" t="n">
        <v>0</v>
      </c>
      <c r="K15" s="21" t="n">
        <f aca="false">IFERROR(INDEX($B$56:$B$66,MATCH($A15,$A$56:$A$66,0)),0)</f>
        <v>0</v>
      </c>
      <c r="L15" s="25" t="n">
        <v>9</v>
      </c>
      <c r="M15" s="17" t="n">
        <f aca="false">IF($C15="",0,($D15+$I15+$D15*($J15+$K15))*(1+$G15)+$E15+$F15)</f>
        <v>4805.97333333333</v>
      </c>
      <c r="N15" s="26" t="n">
        <v>1</v>
      </c>
      <c r="O15" s="26" t="n">
        <v>1</v>
      </c>
      <c r="P15" s="26" t="n">
        <v>1</v>
      </c>
      <c r="Q15" s="26" t="n">
        <v>1</v>
      </c>
      <c r="R15" s="26" t="n">
        <v>1</v>
      </c>
      <c r="S15" s="26" t="n">
        <v>1</v>
      </c>
      <c r="T15" s="26" t="n">
        <v>1</v>
      </c>
      <c r="U15" s="26" t="n">
        <v>1</v>
      </c>
      <c r="V15" s="26" t="n">
        <v>1</v>
      </c>
      <c r="W15" s="26" t="n">
        <v>1</v>
      </c>
      <c r="X15" s="26" t="n">
        <v>1</v>
      </c>
      <c r="Y15" s="26" t="n">
        <v>1</v>
      </c>
      <c r="Z15" s="17" t="n">
        <f aca="false">IF(N15="",0,N15*IF(Z$5&gt;=$L15,$M15,$H15))</f>
        <v>4805.97333333333</v>
      </c>
      <c r="AA15" s="17" t="n">
        <f aca="false">IF(O15="",0,O15*IF(AA$5&gt;=$L15,$M15,$H15))</f>
        <v>4805.97333333333</v>
      </c>
      <c r="AB15" s="17" t="n">
        <f aca="false">IF(P15="",0,P15*IF(AB$5&gt;=$L15,$M15,$H15))</f>
        <v>4805.97333333333</v>
      </c>
      <c r="AC15" s="17" t="n">
        <f aca="false">IF(Q15="",0,Q15*IF(AC$5&gt;=$L15,$M15,$H15))</f>
        <v>4805.97333333333</v>
      </c>
      <c r="AD15" s="17" t="n">
        <f aca="false">IF(R15="",0,R15*IF(AD$5&gt;=$L15,$M15,$H15))</f>
        <v>4805.97333333333</v>
      </c>
      <c r="AE15" s="17" t="n">
        <f aca="false">IF(S15="",0,S15*IF(AE$5&gt;=$L15,$M15,$H15))</f>
        <v>4805.97333333333</v>
      </c>
      <c r="AF15" s="17" t="n">
        <f aca="false">IF(T15="",0,T15*IF(AF$5&gt;=$L15,$M15,$H15))</f>
        <v>4805.97333333333</v>
      </c>
      <c r="AG15" s="17" t="n">
        <f aca="false">IF(U15="",0,U15*IF(AG$5&gt;=$L15,$M15,$H15))</f>
        <v>4805.97333333333</v>
      </c>
      <c r="AH15" s="17" t="n">
        <f aca="false">IF(V15="",0,V15*IF(AH$5&gt;=$L15,$M15,$H15))</f>
        <v>4805.97333333333</v>
      </c>
      <c r="AI15" s="17" t="n">
        <f aca="false">IF(W15="",0,W15*IF(AI$5&gt;=$L15,$M15,$H15))</f>
        <v>4805.97333333333</v>
      </c>
      <c r="AJ15" s="17" t="n">
        <f aca="false">IF(X15="",0,X15*IF(AJ$5&gt;=$L15,$M15,$H15))</f>
        <v>4805.97333333333</v>
      </c>
      <c r="AK15" s="17" t="n">
        <f aca="false">IF(Y15="",0,Y15*IF(AK$5&gt;=$L15,$M15,$H15))</f>
        <v>4805.97333333333</v>
      </c>
      <c r="AL15" s="18" t="n">
        <f aca="false">SUM(Z15:AK15)</f>
        <v>57671.68</v>
      </c>
    </row>
    <row r="16" customFormat="false" ht="15" hidden="false" customHeight="false" outlineLevel="0" collapsed="false">
      <c r="A16" s="25" t="s">
        <v>61</v>
      </c>
      <c r="B16" s="25" t="s">
        <v>206</v>
      </c>
      <c r="C16" s="32" t="n">
        <v>175000</v>
      </c>
      <c r="D16" s="17" t="n">
        <f aca="false">IF($C16="",0,$C16/12)</f>
        <v>14583.3333333333</v>
      </c>
      <c r="E16" s="32" t="n">
        <v>523.5</v>
      </c>
      <c r="F16" s="33" t="n">
        <v>235.5</v>
      </c>
      <c r="G16" s="27" t="n">
        <v>0.01</v>
      </c>
      <c r="H16" s="17" t="n">
        <f aca="false">IF($C16="",0,$D16*(1+$G16)+$E16+$F16)</f>
        <v>15488.1666666667</v>
      </c>
      <c r="I16" s="32" t="n">
        <v>0</v>
      </c>
      <c r="J16" s="27" t="n">
        <v>0</v>
      </c>
      <c r="K16" s="21" t="n">
        <f aca="false">IFERROR(INDEX($B$56:$B$66,MATCH($A16,$A$56:$A$66,0)),0)</f>
        <v>0</v>
      </c>
      <c r="L16" s="25" t="n">
        <v>9</v>
      </c>
      <c r="M16" s="17" t="n">
        <f aca="false">IF($C16="",0,($D16+$I16+$D16*($J16+$K16))*(1+$G16)+$E16+$F16)</f>
        <v>15488.1666666667</v>
      </c>
      <c r="N16" s="26" t="n">
        <v>1</v>
      </c>
      <c r="O16" s="26" t="n">
        <v>1</v>
      </c>
      <c r="P16" s="26" t="n">
        <v>1</v>
      </c>
      <c r="Q16" s="26" t="n">
        <v>1</v>
      </c>
      <c r="R16" s="26" t="n">
        <v>1</v>
      </c>
      <c r="S16" s="26" t="n">
        <v>1</v>
      </c>
      <c r="T16" s="26" t="n">
        <v>1</v>
      </c>
      <c r="U16" s="26" t="n">
        <v>1</v>
      </c>
      <c r="V16" s="26" t="n">
        <v>1</v>
      </c>
      <c r="W16" s="26" t="n">
        <v>1</v>
      </c>
      <c r="X16" s="26" t="n">
        <v>1</v>
      </c>
      <c r="Y16" s="26" t="n">
        <v>1</v>
      </c>
      <c r="Z16" s="17" t="n">
        <f aca="false">IF(N16="",0,N16*IF(Z$5&gt;=$L16,$M16,$H16))</f>
        <v>15488.1666666667</v>
      </c>
      <c r="AA16" s="17" t="n">
        <f aca="false">IF(O16="",0,O16*IF(AA$5&gt;=$L16,$M16,$H16))</f>
        <v>15488.1666666667</v>
      </c>
      <c r="AB16" s="17" t="n">
        <f aca="false">IF(P16="",0,P16*IF(AB$5&gt;=$L16,$M16,$H16))</f>
        <v>15488.1666666667</v>
      </c>
      <c r="AC16" s="17" t="n">
        <f aca="false">IF(Q16="",0,Q16*IF(AC$5&gt;=$L16,$M16,$H16))</f>
        <v>15488.1666666667</v>
      </c>
      <c r="AD16" s="17" t="n">
        <f aca="false">IF(R16="",0,R16*IF(AD$5&gt;=$L16,$M16,$H16))</f>
        <v>15488.1666666667</v>
      </c>
      <c r="AE16" s="17" t="n">
        <f aca="false">IF(S16="",0,S16*IF(AE$5&gt;=$L16,$M16,$H16))</f>
        <v>15488.1666666667</v>
      </c>
      <c r="AF16" s="17" t="n">
        <f aca="false">IF(T16="",0,T16*IF(AF$5&gt;=$L16,$M16,$H16))</f>
        <v>15488.1666666667</v>
      </c>
      <c r="AG16" s="17" t="n">
        <f aca="false">IF(U16="",0,U16*IF(AG$5&gt;=$L16,$M16,$H16))</f>
        <v>15488.1666666667</v>
      </c>
      <c r="AH16" s="17" t="n">
        <f aca="false">IF(V16="",0,V16*IF(AH$5&gt;=$L16,$M16,$H16))</f>
        <v>15488.1666666667</v>
      </c>
      <c r="AI16" s="17" t="n">
        <f aca="false">IF(W16="",0,W16*IF(AI$5&gt;=$L16,$M16,$H16))</f>
        <v>15488.1666666667</v>
      </c>
      <c r="AJ16" s="17" t="n">
        <f aca="false">IF(X16="",0,X16*IF(AJ$5&gt;=$L16,$M16,$H16))</f>
        <v>15488.1666666667</v>
      </c>
      <c r="AK16" s="17" t="n">
        <f aca="false">IF(Y16="",0,Y16*IF(AK$5&gt;=$L16,$M16,$H16))</f>
        <v>15488.1666666667</v>
      </c>
      <c r="AL16" s="18" t="n">
        <f aca="false">SUM(Z16:AK16)</f>
        <v>185858</v>
      </c>
    </row>
    <row r="17" customFormat="false" ht="15" hidden="false" customHeight="false" outlineLevel="0" collapsed="false">
      <c r="A17" s="25" t="s">
        <v>61</v>
      </c>
      <c r="B17" s="25" t="s">
        <v>124</v>
      </c>
      <c r="C17" s="32" t="n">
        <v>68000</v>
      </c>
      <c r="D17" s="17" t="n">
        <f aca="false">IF($C17="",0,$C17/12)</f>
        <v>5666.66666666667</v>
      </c>
      <c r="E17" s="32" t="n">
        <v>523.5</v>
      </c>
      <c r="F17" s="33" t="n">
        <v>219.25</v>
      </c>
      <c r="G17" s="27" t="n">
        <v>0.01</v>
      </c>
      <c r="H17" s="17" t="n">
        <f aca="false">IF($C17="",0,$D17*(1+$G17)+$E17+$F17)</f>
        <v>6466.08333333333</v>
      </c>
      <c r="I17" s="32" t="n">
        <v>0</v>
      </c>
      <c r="J17" s="27" t="n">
        <v>0</v>
      </c>
      <c r="K17" s="21" t="n">
        <f aca="false">IFERROR(INDEX($B$56:$B$66,MATCH($A17,$A$56:$A$66,0)),0)</f>
        <v>0</v>
      </c>
      <c r="L17" s="25" t="n">
        <v>9</v>
      </c>
      <c r="M17" s="17" t="n">
        <f aca="false">IF($C17="",0,($D17+$I17+$D17*($J17+$K17))*(1+$G17)+$E17+$F17)</f>
        <v>6466.08333333333</v>
      </c>
      <c r="N17" s="26" t="n">
        <v>1</v>
      </c>
      <c r="O17" s="26" t="n">
        <v>1</v>
      </c>
      <c r="P17" s="26" t="n">
        <v>1</v>
      </c>
      <c r="Q17" s="26" t="n">
        <v>1</v>
      </c>
      <c r="R17" s="26" t="n">
        <v>1</v>
      </c>
      <c r="S17" s="26" t="n">
        <v>1</v>
      </c>
      <c r="T17" s="26" t="n">
        <v>1</v>
      </c>
      <c r="U17" s="26" t="n">
        <v>1</v>
      </c>
      <c r="V17" s="26" t="n">
        <v>1</v>
      </c>
      <c r="W17" s="26" t="n">
        <v>1</v>
      </c>
      <c r="X17" s="26" t="n">
        <v>1</v>
      </c>
      <c r="Y17" s="26" t="n">
        <v>1</v>
      </c>
      <c r="Z17" s="17" t="n">
        <f aca="false">IF(N17="",0,N17*IF(Z$5&gt;=$L17,$M17,$H17))</f>
        <v>6466.08333333333</v>
      </c>
      <c r="AA17" s="17" t="n">
        <f aca="false">IF(O17="",0,O17*IF(AA$5&gt;=$L17,$M17,$H17))</f>
        <v>6466.08333333333</v>
      </c>
      <c r="AB17" s="17" t="n">
        <f aca="false">IF(P17="",0,P17*IF(AB$5&gt;=$L17,$M17,$H17))</f>
        <v>6466.08333333333</v>
      </c>
      <c r="AC17" s="17" t="n">
        <f aca="false">IF(Q17="",0,Q17*IF(AC$5&gt;=$L17,$M17,$H17))</f>
        <v>6466.08333333333</v>
      </c>
      <c r="AD17" s="17" t="n">
        <f aca="false">IF(R17="",0,R17*IF(AD$5&gt;=$L17,$M17,$H17))</f>
        <v>6466.08333333333</v>
      </c>
      <c r="AE17" s="17" t="n">
        <f aca="false">IF(S17="",0,S17*IF(AE$5&gt;=$L17,$M17,$H17))</f>
        <v>6466.08333333333</v>
      </c>
      <c r="AF17" s="17" t="n">
        <f aca="false">IF(T17="",0,T17*IF(AF$5&gt;=$L17,$M17,$H17))</f>
        <v>6466.08333333333</v>
      </c>
      <c r="AG17" s="17" t="n">
        <f aca="false">IF(U17="",0,U17*IF(AG$5&gt;=$L17,$M17,$H17))</f>
        <v>6466.08333333333</v>
      </c>
      <c r="AH17" s="17" t="n">
        <f aca="false">IF(V17="",0,V17*IF(AH$5&gt;=$L17,$M17,$H17))</f>
        <v>6466.08333333333</v>
      </c>
      <c r="AI17" s="17" t="n">
        <f aca="false">IF(W17="",0,W17*IF(AI$5&gt;=$L17,$M17,$H17))</f>
        <v>6466.08333333333</v>
      </c>
      <c r="AJ17" s="17" t="n">
        <f aca="false">IF(X17="",0,X17*IF(AJ$5&gt;=$L17,$M17,$H17))</f>
        <v>6466.08333333333</v>
      </c>
      <c r="AK17" s="17" t="n">
        <f aca="false">IF(Y17="",0,Y17*IF(AK$5&gt;=$L17,$M17,$H17))</f>
        <v>6466.08333333333</v>
      </c>
      <c r="AL17" s="18" t="n">
        <f aca="false">SUM(Z17:AK17)</f>
        <v>77593</v>
      </c>
    </row>
    <row r="18" customFormat="false" ht="15" hidden="false" customHeight="false" outlineLevel="0" collapsed="false">
      <c r="A18" s="25" t="s">
        <v>61</v>
      </c>
      <c r="B18" s="25" t="s">
        <v>127</v>
      </c>
      <c r="C18" s="32" t="n">
        <v>60000</v>
      </c>
      <c r="D18" s="17" t="n">
        <f aca="false">IF($C18="",0,$C18/12)</f>
        <v>5000</v>
      </c>
      <c r="E18" s="32" t="n">
        <v>523.5</v>
      </c>
      <c r="F18" s="33" t="n">
        <v>219.25</v>
      </c>
      <c r="G18" s="27" t="n">
        <v>0.01</v>
      </c>
      <c r="H18" s="17" t="n">
        <f aca="false">IF($C18="",0,$D18*(1+$G18)+$E18+$F18)</f>
        <v>5792.75</v>
      </c>
      <c r="I18" s="32" t="n">
        <v>0</v>
      </c>
      <c r="J18" s="27" t="n">
        <v>0</v>
      </c>
      <c r="K18" s="21" t="n">
        <f aca="false">IFERROR(INDEX($B$56:$B$66,MATCH($A18,$A$56:$A$66,0)),0)</f>
        <v>0</v>
      </c>
      <c r="L18" s="25" t="n">
        <v>9</v>
      </c>
      <c r="M18" s="17" t="n">
        <f aca="false">IF($C18="",0,($D18+$I18+$D18*($J18+$K18))*(1+$G18)+$E18+$F18)</f>
        <v>5792.75</v>
      </c>
      <c r="N18" s="26" t="n">
        <v>8</v>
      </c>
      <c r="O18" s="26" t="n">
        <v>8</v>
      </c>
      <c r="P18" s="26" t="n">
        <v>8</v>
      </c>
      <c r="Q18" s="26" t="n">
        <v>8</v>
      </c>
      <c r="R18" s="26" t="n">
        <v>8</v>
      </c>
      <c r="S18" s="26" t="n">
        <v>8</v>
      </c>
      <c r="T18" s="26" t="n">
        <v>8</v>
      </c>
      <c r="U18" s="26" t="n">
        <v>8</v>
      </c>
      <c r="V18" s="26" t="n">
        <v>8</v>
      </c>
      <c r="W18" s="26" t="n">
        <v>8</v>
      </c>
      <c r="X18" s="26" t="n">
        <v>8</v>
      </c>
      <c r="Y18" s="26" t="n">
        <v>8</v>
      </c>
      <c r="Z18" s="17" t="n">
        <f aca="false">IF(N18="",0,N18*IF(Z$5&gt;=$L18,$M18,$H18))</f>
        <v>46342</v>
      </c>
      <c r="AA18" s="17" t="n">
        <f aca="false">IF(O18="",0,O18*IF(AA$5&gt;=$L18,$M18,$H18))</f>
        <v>46342</v>
      </c>
      <c r="AB18" s="17" t="n">
        <f aca="false">IF(P18="",0,P18*IF(AB$5&gt;=$L18,$M18,$H18))</f>
        <v>46342</v>
      </c>
      <c r="AC18" s="17" t="n">
        <f aca="false">IF(Q18="",0,Q18*IF(AC$5&gt;=$L18,$M18,$H18))</f>
        <v>46342</v>
      </c>
      <c r="AD18" s="17" t="n">
        <f aca="false">IF(R18="",0,R18*IF(AD$5&gt;=$L18,$M18,$H18))</f>
        <v>46342</v>
      </c>
      <c r="AE18" s="17" t="n">
        <f aca="false">IF(S18="",0,S18*IF(AE$5&gt;=$L18,$M18,$H18))</f>
        <v>46342</v>
      </c>
      <c r="AF18" s="17" t="n">
        <f aca="false">IF(T18="",0,T18*IF(AF$5&gt;=$L18,$M18,$H18))</f>
        <v>46342</v>
      </c>
      <c r="AG18" s="17" t="n">
        <f aca="false">IF(U18="",0,U18*IF(AG$5&gt;=$L18,$M18,$H18))</f>
        <v>46342</v>
      </c>
      <c r="AH18" s="17" t="n">
        <f aca="false">IF(V18="",0,V18*IF(AH$5&gt;=$L18,$M18,$H18))</f>
        <v>46342</v>
      </c>
      <c r="AI18" s="17" t="n">
        <f aca="false">IF(W18="",0,W18*IF(AI$5&gt;=$L18,$M18,$H18))</f>
        <v>46342</v>
      </c>
      <c r="AJ18" s="17" t="n">
        <f aca="false">IF(X18="",0,X18*IF(AJ$5&gt;=$L18,$M18,$H18))</f>
        <v>46342</v>
      </c>
      <c r="AK18" s="17" t="n">
        <f aca="false">IF(Y18="",0,Y18*IF(AK$5&gt;=$L18,$M18,$H18))</f>
        <v>46342</v>
      </c>
      <c r="AL18" s="18" t="n">
        <f aca="false">SUM(Z18:AK18)</f>
        <v>556104</v>
      </c>
    </row>
    <row r="19" customFormat="false" ht="15" hidden="false" customHeight="false" outlineLevel="0" collapsed="false">
      <c r="A19" s="25" t="s">
        <v>61</v>
      </c>
      <c r="B19" s="25" t="s">
        <v>139</v>
      </c>
      <c r="C19" s="32" t="n">
        <v>55000</v>
      </c>
      <c r="D19" s="17" t="n">
        <f aca="false">IF($C19="",0,$C19/12)</f>
        <v>4583.33333333333</v>
      </c>
      <c r="E19" s="32" t="n">
        <v>523.5</v>
      </c>
      <c r="F19" s="33" t="n">
        <v>219.25</v>
      </c>
      <c r="G19" s="27" t="n">
        <v>0.01</v>
      </c>
      <c r="H19" s="17" t="n">
        <f aca="false">IF($C19="",0,$D19*(1+$G19)+$E19+$F19)</f>
        <v>5371.91666666667</v>
      </c>
      <c r="I19" s="32" t="n">
        <v>0</v>
      </c>
      <c r="J19" s="27" t="n">
        <v>0</v>
      </c>
      <c r="K19" s="21" t="n">
        <f aca="false">IFERROR(INDEX($B$56:$B$66,MATCH($A19,$A$56:$A$66,0)),0)</f>
        <v>0</v>
      </c>
      <c r="L19" s="25" t="n">
        <v>9</v>
      </c>
      <c r="M19" s="17" t="n">
        <f aca="false">IF($C19="",0,($D19+$I19+$D19*($J19+$K19))*(1+$G19)+$E19+$F19)</f>
        <v>5371.91666666667</v>
      </c>
      <c r="N19" s="26" t="n">
        <v>2</v>
      </c>
      <c r="O19" s="26" t="n">
        <v>2</v>
      </c>
      <c r="P19" s="26" t="n">
        <v>2</v>
      </c>
      <c r="Q19" s="26" t="n">
        <v>2</v>
      </c>
      <c r="R19" s="26" t="n">
        <v>2</v>
      </c>
      <c r="S19" s="26" t="n">
        <v>2</v>
      </c>
      <c r="T19" s="26" t="n">
        <v>2</v>
      </c>
      <c r="U19" s="26" t="n">
        <v>2</v>
      </c>
      <c r="V19" s="26" t="n">
        <v>2</v>
      </c>
      <c r="W19" s="26" t="n">
        <v>2</v>
      </c>
      <c r="X19" s="26" t="n">
        <v>2</v>
      </c>
      <c r="Y19" s="26" t="n">
        <v>2</v>
      </c>
      <c r="Z19" s="17" t="n">
        <f aca="false">IF(N19="",0,N19*IF(Z$5&gt;=$L19,$M19,$H19))</f>
        <v>10743.8333333333</v>
      </c>
      <c r="AA19" s="17" t="n">
        <f aca="false">IF(O19="",0,O19*IF(AA$5&gt;=$L19,$M19,$H19))</f>
        <v>10743.8333333333</v>
      </c>
      <c r="AB19" s="17" t="n">
        <f aca="false">IF(P19="",0,P19*IF(AB$5&gt;=$L19,$M19,$H19))</f>
        <v>10743.8333333333</v>
      </c>
      <c r="AC19" s="17" t="n">
        <f aca="false">IF(Q19="",0,Q19*IF(AC$5&gt;=$L19,$M19,$H19))</f>
        <v>10743.8333333333</v>
      </c>
      <c r="AD19" s="17" t="n">
        <f aca="false">IF(R19="",0,R19*IF(AD$5&gt;=$L19,$M19,$H19))</f>
        <v>10743.8333333333</v>
      </c>
      <c r="AE19" s="17" t="n">
        <f aca="false">IF(S19="",0,S19*IF(AE$5&gt;=$L19,$M19,$H19))</f>
        <v>10743.8333333333</v>
      </c>
      <c r="AF19" s="17" t="n">
        <f aca="false">IF(T19="",0,T19*IF(AF$5&gt;=$L19,$M19,$H19))</f>
        <v>10743.8333333333</v>
      </c>
      <c r="AG19" s="17" t="n">
        <f aca="false">IF(U19="",0,U19*IF(AG$5&gt;=$L19,$M19,$H19))</f>
        <v>10743.8333333333</v>
      </c>
      <c r="AH19" s="17" t="n">
        <f aca="false">IF(V19="",0,V19*IF(AH$5&gt;=$L19,$M19,$H19))</f>
        <v>10743.8333333333</v>
      </c>
      <c r="AI19" s="17" t="n">
        <f aca="false">IF(W19="",0,W19*IF(AI$5&gt;=$L19,$M19,$H19))</f>
        <v>10743.8333333333</v>
      </c>
      <c r="AJ19" s="17" t="n">
        <f aca="false">IF(X19="",0,X19*IF(AJ$5&gt;=$L19,$M19,$H19))</f>
        <v>10743.8333333333</v>
      </c>
      <c r="AK19" s="17" t="n">
        <f aca="false">IF(Y19="",0,Y19*IF(AK$5&gt;=$L19,$M19,$H19))</f>
        <v>10743.8333333333</v>
      </c>
      <c r="AL19" s="18" t="n">
        <f aca="false">SUM(Z19:AK19)</f>
        <v>128926</v>
      </c>
    </row>
    <row r="20" customFormat="false" ht="15" hidden="false" customHeight="false" outlineLevel="0" collapsed="false">
      <c r="A20" s="25" t="s">
        <v>61</v>
      </c>
      <c r="B20" s="25" t="s">
        <v>207</v>
      </c>
      <c r="C20" s="32" t="n">
        <v>40000</v>
      </c>
      <c r="D20" s="17" t="n">
        <f aca="false">IF($C20="",0,$C20/12)</f>
        <v>3333.33333333333</v>
      </c>
      <c r="E20" s="32" t="n">
        <v>523.5</v>
      </c>
      <c r="F20" s="33" t="n">
        <v>219.25</v>
      </c>
      <c r="G20" s="27" t="n">
        <v>0.01</v>
      </c>
      <c r="H20" s="17" t="n">
        <f aca="false">IF($C20="",0,$D20*(1+$G20)+$E20+$F20)</f>
        <v>4109.41666666667</v>
      </c>
      <c r="I20" s="32" t="n">
        <v>0</v>
      </c>
      <c r="J20" s="27" t="n">
        <v>0</v>
      </c>
      <c r="K20" s="21" t="n">
        <f aca="false">IFERROR(INDEX($B$56:$B$66,MATCH($A20,$A$56:$A$66,0)),0)</f>
        <v>0</v>
      </c>
      <c r="L20" s="25" t="n">
        <v>9</v>
      </c>
      <c r="M20" s="17" t="n">
        <f aca="false">IF($C20="",0,($D20+$I20+$D20*($J20+$K20))*(1+$G20)+$E20+$F20)</f>
        <v>4109.41666666667</v>
      </c>
      <c r="N20" s="26" t="n">
        <v>3</v>
      </c>
      <c r="O20" s="26" t="n">
        <v>3</v>
      </c>
      <c r="P20" s="26" t="n">
        <v>3</v>
      </c>
      <c r="Q20" s="26" t="n">
        <v>3</v>
      </c>
      <c r="R20" s="26" t="n">
        <v>3</v>
      </c>
      <c r="S20" s="26" t="n">
        <v>3</v>
      </c>
      <c r="T20" s="26" t="n">
        <v>3</v>
      </c>
      <c r="U20" s="26" t="n">
        <v>3</v>
      </c>
      <c r="V20" s="26" t="n">
        <v>3</v>
      </c>
      <c r="W20" s="26" t="n">
        <v>3</v>
      </c>
      <c r="X20" s="26" t="n">
        <v>3</v>
      </c>
      <c r="Y20" s="26" t="n">
        <v>3</v>
      </c>
      <c r="Z20" s="17" t="n">
        <f aca="false">IF(N20="",0,N20*IF(Z$5&gt;=$L20,$M20,$H20))</f>
        <v>12328.25</v>
      </c>
      <c r="AA20" s="17" t="n">
        <f aca="false">IF(O20="",0,O20*IF(AA$5&gt;=$L20,$M20,$H20))</f>
        <v>12328.25</v>
      </c>
      <c r="AB20" s="17" t="n">
        <f aca="false">IF(P20="",0,P20*IF(AB$5&gt;=$L20,$M20,$H20))</f>
        <v>12328.25</v>
      </c>
      <c r="AC20" s="17" t="n">
        <f aca="false">IF(Q20="",0,Q20*IF(AC$5&gt;=$L20,$M20,$H20))</f>
        <v>12328.25</v>
      </c>
      <c r="AD20" s="17" t="n">
        <f aca="false">IF(R20="",0,R20*IF(AD$5&gt;=$L20,$M20,$H20))</f>
        <v>12328.25</v>
      </c>
      <c r="AE20" s="17" t="n">
        <f aca="false">IF(S20="",0,S20*IF(AE$5&gt;=$L20,$M20,$H20))</f>
        <v>12328.25</v>
      </c>
      <c r="AF20" s="17" t="n">
        <f aca="false">IF(T20="",0,T20*IF(AF$5&gt;=$L20,$M20,$H20))</f>
        <v>12328.25</v>
      </c>
      <c r="AG20" s="17" t="n">
        <f aca="false">IF(U20="",0,U20*IF(AG$5&gt;=$L20,$M20,$H20))</f>
        <v>12328.25</v>
      </c>
      <c r="AH20" s="17" t="n">
        <f aca="false">IF(V20="",0,V20*IF(AH$5&gt;=$L20,$M20,$H20))</f>
        <v>12328.25</v>
      </c>
      <c r="AI20" s="17" t="n">
        <f aca="false">IF(W20="",0,W20*IF(AI$5&gt;=$L20,$M20,$H20))</f>
        <v>12328.25</v>
      </c>
      <c r="AJ20" s="17" t="n">
        <f aca="false">IF(X20="",0,X20*IF(AJ$5&gt;=$L20,$M20,$H20))</f>
        <v>12328.25</v>
      </c>
      <c r="AK20" s="17" t="n">
        <f aca="false">IF(Y20="",0,Y20*IF(AK$5&gt;=$L20,$M20,$H20))</f>
        <v>12328.25</v>
      </c>
      <c r="AL20" s="18" t="n">
        <f aca="false">SUM(Z20:AK20)</f>
        <v>147939</v>
      </c>
    </row>
    <row r="21" customFormat="false" ht="15" hidden="false" customHeight="false" outlineLevel="0" collapsed="false">
      <c r="A21" s="25" t="s">
        <v>61</v>
      </c>
      <c r="B21" s="25" t="s">
        <v>208</v>
      </c>
      <c r="C21" s="32" t="n">
        <v>85000</v>
      </c>
      <c r="D21" s="17" t="n">
        <f aca="false">IF($C21="",0,$C21/12)</f>
        <v>7083.33333333333</v>
      </c>
      <c r="E21" s="32" t="n">
        <v>523.5</v>
      </c>
      <c r="F21" s="33" t="n">
        <v>226.9</v>
      </c>
      <c r="G21" s="27" t="n">
        <v>0.01</v>
      </c>
      <c r="H21" s="17" t="n">
        <f aca="false">IF($C21="",0,$D21*(1+$G21)+$E21+$F21)</f>
        <v>7904.56666666667</v>
      </c>
      <c r="I21" s="32" t="n">
        <v>0</v>
      </c>
      <c r="J21" s="27" t="n">
        <v>0</v>
      </c>
      <c r="K21" s="21" t="n">
        <f aca="false">IFERROR(INDEX($B$56:$B$66,MATCH($A21,$A$56:$A$66,0)),0)</f>
        <v>0</v>
      </c>
      <c r="L21" s="25" t="n">
        <v>9</v>
      </c>
      <c r="M21" s="17" t="n">
        <f aca="false">IF($C21="",0,($D21+$I21+$D21*($J21+$K21))*(1+$G21)+$E21+$F21)</f>
        <v>7904.56666666667</v>
      </c>
      <c r="N21" s="26" t="n">
        <v>1</v>
      </c>
      <c r="O21" s="26" t="n">
        <v>1</v>
      </c>
      <c r="P21" s="26" t="n">
        <v>1</v>
      </c>
      <c r="Q21" s="26" t="n">
        <v>1</v>
      </c>
      <c r="R21" s="26" t="n">
        <v>1</v>
      </c>
      <c r="S21" s="26" t="n">
        <v>1</v>
      </c>
      <c r="T21" s="26" t="n">
        <v>1</v>
      </c>
      <c r="U21" s="26" t="n">
        <v>1</v>
      </c>
      <c r="V21" s="26" t="n">
        <v>1</v>
      </c>
      <c r="W21" s="26" t="n">
        <v>1</v>
      </c>
      <c r="X21" s="26" t="n">
        <v>1</v>
      </c>
      <c r="Y21" s="26" t="n">
        <v>1</v>
      </c>
      <c r="Z21" s="17" t="n">
        <f aca="false">IF(N21="",0,N21*IF(Z$5&gt;=$L21,$M21,$H21))</f>
        <v>7904.56666666667</v>
      </c>
      <c r="AA21" s="17" t="n">
        <f aca="false">IF(O21="",0,O21*IF(AA$5&gt;=$L21,$M21,$H21))</f>
        <v>7904.56666666667</v>
      </c>
      <c r="AB21" s="17" t="n">
        <f aca="false">IF(P21="",0,P21*IF(AB$5&gt;=$L21,$M21,$H21))</f>
        <v>7904.56666666667</v>
      </c>
      <c r="AC21" s="17" t="n">
        <f aca="false">IF(Q21="",0,Q21*IF(AC$5&gt;=$L21,$M21,$H21))</f>
        <v>7904.56666666667</v>
      </c>
      <c r="AD21" s="17" t="n">
        <f aca="false">IF(R21="",0,R21*IF(AD$5&gt;=$L21,$M21,$H21))</f>
        <v>7904.56666666667</v>
      </c>
      <c r="AE21" s="17" t="n">
        <f aca="false">IF(S21="",0,S21*IF(AE$5&gt;=$L21,$M21,$H21))</f>
        <v>7904.56666666667</v>
      </c>
      <c r="AF21" s="17" t="n">
        <f aca="false">IF(T21="",0,T21*IF(AF$5&gt;=$L21,$M21,$H21))</f>
        <v>7904.56666666667</v>
      </c>
      <c r="AG21" s="17" t="n">
        <f aca="false">IF(U21="",0,U21*IF(AG$5&gt;=$L21,$M21,$H21))</f>
        <v>7904.56666666667</v>
      </c>
      <c r="AH21" s="17" t="n">
        <f aca="false">IF(V21="",0,V21*IF(AH$5&gt;=$L21,$M21,$H21))</f>
        <v>7904.56666666667</v>
      </c>
      <c r="AI21" s="17" t="n">
        <f aca="false">IF(W21="",0,W21*IF(AI$5&gt;=$L21,$M21,$H21))</f>
        <v>7904.56666666667</v>
      </c>
      <c r="AJ21" s="17" t="n">
        <f aca="false">IF(X21="",0,X21*IF(AJ$5&gt;=$L21,$M21,$H21))</f>
        <v>7904.56666666667</v>
      </c>
      <c r="AK21" s="17" t="n">
        <f aca="false">IF(Y21="",0,Y21*IF(AK$5&gt;=$L21,$M21,$H21))</f>
        <v>7904.56666666667</v>
      </c>
      <c r="AL21" s="18" t="n">
        <f aca="false">SUM(Z21:AK21)</f>
        <v>94854.8</v>
      </c>
    </row>
    <row r="22" customFormat="false" ht="15" hidden="false" customHeight="false" outlineLevel="0" collapsed="false">
      <c r="A22" s="25" t="s">
        <v>70</v>
      </c>
      <c r="B22" s="25" t="s">
        <v>209</v>
      </c>
      <c r="C22" s="32" t="n">
        <v>85000</v>
      </c>
      <c r="D22" s="17" t="n">
        <f aca="false">IF($C22="",0,$C22/12)</f>
        <v>7083.33333333333</v>
      </c>
      <c r="E22" s="32" t="n">
        <v>523.5</v>
      </c>
      <c r="F22" s="33" t="n">
        <v>74.14</v>
      </c>
      <c r="G22" s="27" t="n">
        <v>0.01</v>
      </c>
      <c r="H22" s="17" t="n">
        <f aca="false">IF($C22="",0,$D22*(1+$G22)+$E22+$F22)</f>
        <v>7751.80666666667</v>
      </c>
      <c r="I22" s="32" t="n">
        <v>0</v>
      </c>
      <c r="J22" s="27" t="n">
        <v>0</v>
      </c>
      <c r="K22" s="21" t="n">
        <f aca="false">IFERROR(INDEX($B$56:$B$66,MATCH($A22,$A$56:$A$66,0)),0)</f>
        <v>0</v>
      </c>
      <c r="L22" s="25" t="n">
        <v>9</v>
      </c>
      <c r="M22" s="17" t="n">
        <f aca="false">IF($C22="",0,($D22+$I22+$D22*($J22+$K22))*(1+$G22)+$E22+$F22)</f>
        <v>7751.80666666667</v>
      </c>
      <c r="N22" s="26" t="n">
        <v>1</v>
      </c>
      <c r="O22" s="26" t="n">
        <v>1</v>
      </c>
      <c r="P22" s="26" t="n">
        <v>1</v>
      </c>
      <c r="Q22" s="26" t="n">
        <v>1</v>
      </c>
      <c r="R22" s="26" t="n">
        <v>1</v>
      </c>
      <c r="S22" s="26" t="n">
        <v>1</v>
      </c>
      <c r="T22" s="26" t="n">
        <v>1</v>
      </c>
      <c r="U22" s="26" t="n">
        <v>1</v>
      </c>
      <c r="V22" s="26" t="n">
        <v>1</v>
      </c>
      <c r="W22" s="26" t="n">
        <v>1</v>
      </c>
      <c r="X22" s="26" t="n">
        <v>1</v>
      </c>
      <c r="Y22" s="26" t="n">
        <v>1</v>
      </c>
      <c r="Z22" s="17" t="n">
        <f aca="false">IF(N22="",0,N22*IF(Z$5&gt;=$L22,$M22,$H22))</f>
        <v>7751.80666666667</v>
      </c>
      <c r="AA22" s="17" t="n">
        <f aca="false">IF(O22="",0,O22*IF(AA$5&gt;=$L22,$M22,$H22))</f>
        <v>7751.80666666667</v>
      </c>
      <c r="AB22" s="17" t="n">
        <f aca="false">IF(P22="",0,P22*IF(AB$5&gt;=$L22,$M22,$H22))</f>
        <v>7751.80666666667</v>
      </c>
      <c r="AC22" s="17" t="n">
        <f aca="false">IF(Q22="",0,Q22*IF(AC$5&gt;=$L22,$M22,$H22))</f>
        <v>7751.80666666667</v>
      </c>
      <c r="AD22" s="17" t="n">
        <f aca="false">IF(R22="",0,R22*IF(AD$5&gt;=$L22,$M22,$H22))</f>
        <v>7751.80666666667</v>
      </c>
      <c r="AE22" s="17" t="n">
        <f aca="false">IF(S22="",0,S22*IF(AE$5&gt;=$L22,$M22,$H22))</f>
        <v>7751.80666666667</v>
      </c>
      <c r="AF22" s="17" t="n">
        <f aca="false">IF(T22="",0,T22*IF(AF$5&gt;=$L22,$M22,$H22))</f>
        <v>7751.80666666667</v>
      </c>
      <c r="AG22" s="17" t="n">
        <f aca="false">IF(U22="",0,U22*IF(AG$5&gt;=$L22,$M22,$H22))</f>
        <v>7751.80666666667</v>
      </c>
      <c r="AH22" s="17" t="n">
        <f aca="false">IF(V22="",0,V22*IF(AH$5&gt;=$L22,$M22,$H22))</f>
        <v>7751.80666666667</v>
      </c>
      <c r="AI22" s="17" t="n">
        <f aca="false">IF(W22="",0,W22*IF(AI$5&gt;=$L22,$M22,$H22))</f>
        <v>7751.80666666667</v>
      </c>
      <c r="AJ22" s="17" t="n">
        <f aca="false">IF(X22="",0,X22*IF(AJ$5&gt;=$L22,$M22,$H22))</f>
        <v>7751.80666666667</v>
      </c>
      <c r="AK22" s="17" t="n">
        <f aca="false">IF(Y22="",0,Y22*IF(AK$5&gt;=$L22,$M22,$H22))</f>
        <v>7751.80666666667</v>
      </c>
      <c r="AL22" s="18" t="n">
        <f aca="false">SUM(Z22:AK22)</f>
        <v>93021.68</v>
      </c>
    </row>
    <row r="23" customFormat="false" ht="15" hidden="false" customHeight="false" outlineLevel="0" collapsed="false">
      <c r="A23" s="25" t="s">
        <v>62</v>
      </c>
      <c r="B23" s="25" t="s">
        <v>210</v>
      </c>
      <c r="C23" s="32" t="n">
        <v>72000</v>
      </c>
      <c r="D23" s="17" t="n">
        <f aca="false">IF($C23="",0,$C23/12)</f>
        <v>6000</v>
      </c>
      <c r="E23" s="32" t="n">
        <v>0</v>
      </c>
      <c r="F23" s="33" t="n">
        <v>54.41</v>
      </c>
      <c r="G23" s="27" t="n">
        <v>0.01</v>
      </c>
      <c r="H23" s="17" t="n">
        <f aca="false">IF($C23="",0,$D23*(1+$G23)+$E23+$F23)</f>
        <v>6114.41</v>
      </c>
      <c r="I23" s="32" t="n">
        <v>0</v>
      </c>
      <c r="J23" s="27" t="n">
        <v>0</v>
      </c>
      <c r="K23" s="21" t="n">
        <f aca="false">IFERROR(INDEX($B$56:$B$66,MATCH($A23,$A$56:$A$66,0)),0)</f>
        <v>0</v>
      </c>
      <c r="L23" s="25" t="n">
        <v>9</v>
      </c>
      <c r="M23" s="17" t="n">
        <f aca="false">IF($C23="",0,($D23+$I23+$D23*($J23+$K23))*(1+$G23)+$E23+$F23)</f>
        <v>6114.41</v>
      </c>
      <c r="N23" s="26" t="n">
        <v>1</v>
      </c>
      <c r="O23" s="26" t="n">
        <v>1</v>
      </c>
      <c r="P23" s="26" t="n">
        <v>1</v>
      </c>
      <c r="Q23" s="26" t="n">
        <v>1</v>
      </c>
      <c r="R23" s="26" t="n">
        <v>1</v>
      </c>
      <c r="S23" s="26" t="n">
        <v>1</v>
      </c>
      <c r="T23" s="26" t="n">
        <v>1</v>
      </c>
      <c r="U23" s="26" t="n">
        <v>1</v>
      </c>
      <c r="V23" s="26" t="n">
        <v>1</v>
      </c>
      <c r="W23" s="26" t="n">
        <v>1</v>
      </c>
      <c r="X23" s="26" t="n">
        <v>1</v>
      </c>
      <c r="Y23" s="26" t="n">
        <v>1</v>
      </c>
      <c r="Z23" s="17" t="n">
        <f aca="false">IF(N23="",0,N23*IF(Z$5&gt;=$L23,$M23,$H23))</f>
        <v>6114.41</v>
      </c>
      <c r="AA23" s="17" t="n">
        <f aca="false">IF(O23="",0,O23*IF(AA$5&gt;=$L23,$M23,$H23))</f>
        <v>6114.41</v>
      </c>
      <c r="AB23" s="17" t="n">
        <f aca="false">IF(P23="",0,P23*IF(AB$5&gt;=$L23,$M23,$H23))</f>
        <v>6114.41</v>
      </c>
      <c r="AC23" s="17" t="n">
        <f aca="false">IF(Q23="",0,Q23*IF(AC$5&gt;=$L23,$M23,$H23))</f>
        <v>6114.41</v>
      </c>
      <c r="AD23" s="17" t="n">
        <f aca="false">IF(R23="",0,R23*IF(AD$5&gt;=$L23,$M23,$H23))</f>
        <v>6114.41</v>
      </c>
      <c r="AE23" s="17" t="n">
        <f aca="false">IF(S23="",0,S23*IF(AE$5&gt;=$L23,$M23,$H23))</f>
        <v>6114.41</v>
      </c>
      <c r="AF23" s="17" t="n">
        <f aca="false">IF(T23="",0,T23*IF(AF$5&gt;=$L23,$M23,$H23))</f>
        <v>6114.41</v>
      </c>
      <c r="AG23" s="17" t="n">
        <f aca="false">IF(U23="",0,U23*IF(AG$5&gt;=$L23,$M23,$H23))</f>
        <v>6114.41</v>
      </c>
      <c r="AH23" s="17" t="n">
        <f aca="false">IF(V23="",0,V23*IF(AH$5&gt;=$L23,$M23,$H23))</f>
        <v>6114.41</v>
      </c>
      <c r="AI23" s="17" t="n">
        <f aca="false">IF(W23="",0,W23*IF(AI$5&gt;=$L23,$M23,$H23))</f>
        <v>6114.41</v>
      </c>
      <c r="AJ23" s="17" t="n">
        <f aca="false">IF(X23="",0,X23*IF(AJ$5&gt;=$L23,$M23,$H23))</f>
        <v>6114.41</v>
      </c>
      <c r="AK23" s="17" t="n">
        <f aca="false">IF(Y23="",0,Y23*IF(AK$5&gt;=$L23,$M23,$H23))</f>
        <v>6114.41</v>
      </c>
      <c r="AL23" s="18" t="n">
        <f aca="false">SUM(Z23:AK23)</f>
        <v>73372.92</v>
      </c>
    </row>
    <row r="24" customFormat="false" ht="15" hidden="false" customHeight="false" outlineLevel="0" collapsed="false">
      <c r="A24" s="25" t="s">
        <v>67</v>
      </c>
      <c r="B24" s="25" t="s">
        <v>211</v>
      </c>
      <c r="C24" s="32" t="n">
        <v>90000</v>
      </c>
      <c r="D24" s="17" t="n">
        <f aca="false">IF($C24="",0,$C24/12)</f>
        <v>7500</v>
      </c>
      <c r="E24" s="32" t="n">
        <v>523.5</v>
      </c>
      <c r="F24" s="33" t="n">
        <v>74.14</v>
      </c>
      <c r="G24" s="27" t="n">
        <v>0.01</v>
      </c>
      <c r="H24" s="17" t="n">
        <f aca="false">IF($C24="",0,$D24*(1+$G24)+$E24+$F24)</f>
        <v>8172.64</v>
      </c>
      <c r="I24" s="32" t="n">
        <v>0</v>
      </c>
      <c r="J24" s="27" t="n">
        <v>0</v>
      </c>
      <c r="K24" s="21" t="n">
        <f aca="false">IFERROR(INDEX($B$56:$B$66,MATCH($A24,$A$56:$A$66,0)),0)</f>
        <v>0</v>
      </c>
      <c r="L24" s="25" t="n">
        <v>9</v>
      </c>
      <c r="M24" s="17" t="n">
        <f aca="false">IF($C24="",0,($D24+$I24+$D24*($J24+$K24))*(1+$G24)+$E24+$F24)</f>
        <v>8172.64</v>
      </c>
      <c r="N24" s="26" t="n">
        <v>1</v>
      </c>
      <c r="O24" s="26" t="n">
        <v>1</v>
      </c>
      <c r="P24" s="26" t="n">
        <v>1</v>
      </c>
      <c r="Q24" s="26" t="n">
        <v>1</v>
      </c>
      <c r="R24" s="26" t="n">
        <v>1</v>
      </c>
      <c r="S24" s="26" t="n">
        <v>1</v>
      </c>
      <c r="T24" s="26" t="n">
        <v>1</v>
      </c>
      <c r="U24" s="26" t="n">
        <v>1</v>
      </c>
      <c r="V24" s="26" t="n">
        <v>1</v>
      </c>
      <c r="W24" s="26" t="n">
        <v>1</v>
      </c>
      <c r="X24" s="26" t="n">
        <v>1</v>
      </c>
      <c r="Y24" s="26" t="n">
        <v>1</v>
      </c>
      <c r="Z24" s="17" t="n">
        <f aca="false">IF(N24="",0,N24*IF(Z$5&gt;=$L24,$M24,$H24))</f>
        <v>8172.64</v>
      </c>
      <c r="AA24" s="17" t="n">
        <f aca="false">IF(O24="",0,O24*IF(AA$5&gt;=$L24,$M24,$H24))</f>
        <v>8172.64</v>
      </c>
      <c r="AB24" s="17" t="n">
        <f aca="false">IF(P24="",0,P24*IF(AB$5&gt;=$L24,$M24,$H24))</f>
        <v>8172.64</v>
      </c>
      <c r="AC24" s="17" t="n">
        <f aca="false">IF(Q24="",0,Q24*IF(AC$5&gt;=$L24,$M24,$H24))</f>
        <v>8172.64</v>
      </c>
      <c r="AD24" s="17" t="n">
        <f aca="false">IF(R24="",0,R24*IF(AD$5&gt;=$L24,$M24,$H24))</f>
        <v>8172.64</v>
      </c>
      <c r="AE24" s="17" t="n">
        <f aca="false">IF(S24="",0,S24*IF(AE$5&gt;=$L24,$M24,$H24))</f>
        <v>8172.64</v>
      </c>
      <c r="AF24" s="17" t="n">
        <f aca="false">IF(T24="",0,T24*IF(AF$5&gt;=$L24,$M24,$H24))</f>
        <v>8172.64</v>
      </c>
      <c r="AG24" s="17" t="n">
        <f aca="false">IF(U24="",0,U24*IF(AG$5&gt;=$L24,$M24,$H24))</f>
        <v>8172.64</v>
      </c>
      <c r="AH24" s="17" t="n">
        <f aca="false">IF(V24="",0,V24*IF(AH$5&gt;=$L24,$M24,$H24))</f>
        <v>8172.64</v>
      </c>
      <c r="AI24" s="17" t="n">
        <f aca="false">IF(W24="",0,W24*IF(AI$5&gt;=$L24,$M24,$H24))</f>
        <v>8172.64</v>
      </c>
      <c r="AJ24" s="17" t="n">
        <f aca="false">IF(X24="",0,X24*IF(AJ$5&gt;=$L24,$M24,$H24))</f>
        <v>8172.64</v>
      </c>
      <c r="AK24" s="17" t="n">
        <f aca="false">IF(Y24="",0,Y24*IF(AK$5&gt;=$L24,$M24,$H24))</f>
        <v>8172.64</v>
      </c>
      <c r="AL24" s="18" t="n">
        <f aca="false">SUM(Z24:AK24)</f>
        <v>98071.68</v>
      </c>
    </row>
    <row r="25" customFormat="false" ht="15" hidden="false" customHeight="false" outlineLevel="0" collapsed="false">
      <c r="A25" s="25" t="s">
        <v>67</v>
      </c>
      <c r="B25" s="25" t="s">
        <v>212</v>
      </c>
      <c r="C25" s="32" t="n">
        <v>51000</v>
      </c>
      <c r="D25" s="17" t="n">
        <f aca="false">IF($C25="",0,$C25/12)</f>
        <v>4250</v>
      </c>
      <c r="E25" s="32" t="n">
        <v>523.5</v>
      </c>
      <c r="F25" s="33" t="n">
        <v>95.7</v>
      </c>
      <c r="G25" s="27" t="n">
        <v>0.01</v>
      </c>
      <c r="H25" s="17" t="n">
        <f aca="false">IF($C25="",0,$D25*(1+$G25)+$E25+$F25)</f>
        <v>4911.7</v>
      </c>
      <c r="I25" s="32" t="n">
        <v>0</v>
      </c>
      <c r="J25" s="27" t="n">
        <v>0</v>
      </c>
      <c r="K25" s="21" t="n">
        <f aca="false">IFERROR(INDEX($B$56:$B$66,MATCH($A25,$A$56:$A$66,0)),0)</f>
        <v>0</v>
      </c>
      <c r="L25" s="25" t="n">
        <v>9</v>
      </c>
      <c r="M25" s="17" t="n">
        <f aca="false">IF($C25="",0,($D25+$I25+$D25*($J25+$K25))*(1+$G25)+$E25+$F25)</f>
        <v>4911.7</v>
      </c>
      <c r="N25" s="26" t="n">
        <v>1</v>
      </c>
      <c r="O25" s="26" t="n">
        <v>1</v>
      </c>
      <c r="P25" s="26" t="n">
        <v>1</v>
      </c>
      <c r="Q25" s="26" t="n">
        <v>1</v>
      </c>
      <c r="R25" s="26" t="n">
        <v>1</v>
      </c>
      <c r="S25" s="26" t="n">
        <v>1</v>
      </c>
      <c r="T25" s="26" t="n">
        <v>1</v>
      </c>
      <c r="U25" s="26" t="n">
        <v>1</v>
      </c>
      <c r="V25" s="26" t="n">
        <v>1</v>
      </c>
      <c r="W25" s="26" t="n">
        <v>1</v>
      </c>
      <c r="X25" s="26" t="n">
        <v>1</v>
      </c>
      <c r="Y25" s="26" t="n">
        <v>1</v>
      </c>
      <c r="Z25" s="17" t="n">
        <f aca="false">IF(N25="",0,N25*IF(Z$5&gt;=$L25,$M25,$H25))</f>
        <v>4911.7</v>
      </c>
      <c r="AA25" s="17" t="n">
        <f aca="false">IF(O25="",0,O25*IF(AA$5&gt;=$L25,$M25,$H25))</f>
        <v>4911.7</v>
      </c>
      <c r="AB25" s="17" t="n">
        <f aca="false">IF(P25="",0,P25*IF(AB$5&gt;=$L25,$M25,$H25))</f>
        <v>4911.7</v>
      </c>
      <c r="AC25" s="17" t="n">
        <f aca="false">IF(Q25="",0,Q25*IF(AC$5&gt;=$L25,$M25,$H25))</f>
        <v>4911.7</v>
      </c>
      <c r="AD25" s="17" t="n">
        <f aca="false">IF(R25="",0,R25*IF(AD$5&gt;=$L25,$M25,$H25))</f>
        <v>4911.7</v>
      </c>
      <c r="AE25" s="17" t="n">
        <f aca="false">IF(S25="",0,S25*IF(AE$5&gt;=$L25,$M25,$H25))</f>
        <v>4911.7</v>
      </c>
      <c r="AF25" s="17" t="n">
        <f aca="false">IF(T25="",0,T25*IF(AF$5&gt;=$L25,$M25,$H25))</f>
        <v>4911.7</v>
      </c>
      <c r="AG25" s="17" t="n">
        <f aca="false">IF(U25="",0,U25*IF(AG$5&gt;=$L25,$M25,$H25))</f>
        <v>4911.7</v>
      </c>
      <c r="AH25" s="17" t="n">
        <f aca="false">IF(V25="",0,V25*IF(AH$5&gt;=$L25,$M25,$H25))</f>
        <v>4911.7</v>
      </c>
      <c r="AI25" s="17" t="n">
        <f aca="false">IF(W25="",0,W25*IF(AI$5&gt;=$L25,$M25,$H25))</f>
        <v>4911.7</v>
      </c>
      <c r="AJ25" s="17" t="n">
        <f aca="false">IF(X25="",0,X25*IF(AJ$5&gt;=$L25,$M25,$H25))</f>
        <v>4911.7</v>
      </c>
      <c r="AK25" s="17" t="n">
        <f aca="false">IF(Y25="",0,Y25*IF(AK$5&gt;=$L25,$M25,$H25))</f>
        <v>4911.7</v>
      </c>
      <c r="AL25" s="18" t="n">
        <f aca="false">SUM(Z25:AK25)</f>
        <v>58940.4</v>
      </c>
    </row>
    <row r="26" customFormat="false" ht="15" hidden="false" customHeight="false" outlineLevel="0" collapsed="false">
      <c r="A26" s="25" t="s">
        <v>66</v>
      </c>
      <c r="B26" s="25" t="s">
        <v>213</v>
      </c>
      <c r="C26" s="32" t="n">
        <v>75000</v>
      </c>
      <c r="D26" s="17" t="n">
        <f aca="false">IF($C26="",0,$C26/12)</f>
        <v>6250</v>
      </c>
      <c r="E26" s="32" t="n">
        <v>523.5</v>
      </c>
      <c r="F26" s="33" t="n">
        <v>66.48</v>
      </c>
      <c r="G26" s="27" t="n">
        <v>0.01</v>
      </c>
      <c r="H26" s="17" t="n">
        <f aca="false">IF($C26="",0,$D26*(1+$G26)+$E26+$F26)</f>
        <v>6902.48</v>
      </c>
      <c r="I26" s="32" t="n">
        <v>0</v>
      </c>
      <c r="J26" s="27" t="n">
        <v>0</v>
      </c>
      <c r="K26" s="21" t="n">
        <f aca="false">IFERROR(INDEX($B$56:$B$66,MATCH($A26,$A$56:$A$66,0)),0)</f>
        <v>0</v>
      </c>
      <c r="L26" s="25" t="n">
        <v>9</v>
      </c>
      <c r="M26" s="17" t="n">
        <f aca="false">IF($C26="",0,($D26+$I26+$D26*($J26+$K26))*(1+$G26)+$E26+$F26)</f>
        <v>6902.48</v>
      </c>
      <c r="N26" s="26" t="n">
        <v>1</v>
      </c>
      <c r="O26" s="26" t="n">
        <v>1</v>
      </c>
      <c r="P26" s="26" t="n">
        <v>1</v>
      </c>
      <c r="Q26" s="26" t="n">
        <v>1</v>
      </c>
      <c r="R26" s="26" t="n">
        <v>1</v>
      </c>
      <c r="S26" s="26" t="n">
        <v>1</v>
      </c>
      <c r="T26" s="26" t="n">
        <v>1</v>
      </c>
      <c r="U26" s="26" t="n">
        <v>1</v>
      </c>
      <c r="V26" s="26" t="n">
        <v>1</v>
      </c>
      <c r="W26" s="26" t="n">
        <v>1</v>
      </c>
      <c r="X26" s="26" t="n">
        <v>1</v>
      </c>
      <c r="Y26" s="26" t="n">
        <v>1</v>
      </c>
      <c r="Z26" s="17" t="n">
        <f aca="false">IF(N26="",0,N26*IF(Z$5&gt;=$L26,$M26,$H26))</f>
        <v>6902.48</v>
      </c>
      <c r="AA26" s="17" t="n">
        <f aca="false">IF(O26="",0,O26*IF(AA$5&gt;=$L26,$M26,$H26))</f>
        <v>6902.48</v>
      </c>
      <c r="AB26" s="17" t="n">
        <f aca="false">IF(P26="",0,P26*IF(AB$5&gt;=$L26,$M26,$H26))</f>
        <v>6902.48</v>
      </c>
      <c r="AC26" s="17" t="n">
        <f aca="false">IF(Q26="",0,Q26*IF(AC$5&gt;=$L26,$M26,$H26))</f>
        <v>6902.48</v>
      </c>
      <c r="AD26" s="17" t="n">
        <f aca="false">IF(R26="",0,R26*IF(AD$5&gt;=$L26,$M26,$H26))</f>
        <v>6902.48</v>
      </c>
      <c r="AE26" s="17" t="n">
        <f aca="false">IF(S26="",0,S26*IF(AE$5&gt;=$L26,$M26,$H26))</f>
        <v>6902.48</v>
      </c>
      <c r="AF26" s="17" t="n">
        <f aca="false">IF(T26="",0,T26*IF(AF$5&gt;=$L26,$M26,$H26))</f>
        <v>6902.48</v>
      </c>
      <c r="AG26" s="17" t="n">
        <f aca="false">IF(U26="",0,U26*IF(AG$5&gt;=$L26,$M26,$H26))</f>
        <v>6902.48</v>
      </c>
      <c r="AH26" s="17" t="n">
        <f aca="false">IF(V26="",0,V26*IF(AH$5&gt;=$L26,$M26,$H26))</f>
        <v>6902.48</v>
      </c>
      <c r="AI26" s="17" t="n">
        <f aca="false">IF(W26="",0,W26*IF(AI$5&gt;=$L26,$M26,$H26))</f>
        <v>6902.48</v>
      </c>
      <c r="AJ26" s="17" t="n">
        <f aca="false">IF(X26="",0,X26*IF(AJ$5&gt;=$L26,$M26,$H26))</f>
        <v>6902.48</v>
      </c>
      <c r="AK26" s="17" t="n">
        <f aca="false">IF(Y26="",0,Y26*IF(AK$5&gt;=$L26,$M26,$H26))</f>
        <v>6902.48</v>
      </c>
      <c r="AL26" s="18" t="n">
        <f aca="false">SUM(Z26:AK26)</f>
        <v>82829.76</v>
      </c>
    </row>
    <row r="27" customFormat="false" ht="15" hidden="false" customHeight="false" outlineLevel="0" collapsed="false">
      <c r="A27" s="25" t="s">
        <v>66</v>
      </c>
      <c r="B27" s="25" t="s">
        <v>214</v>
      </c>
      <c r="C27" s="32" t="n">
        <v>45760</v>
      </c>
      <c r="D27" s="17" t="n">
        <f aca="false">IF($C27="",0,$C27/12)</f>
        <v>3813.33333333333</v>
      </c>
      <c r="E27" s="32" t="n">
        <v>523.5</v>
      </c>
      <c r="F27" s="33" t="n">
        <v>71.65</v>
      </c>
      <c r="G27" s="27" t="n">
        <v>0.01</v>
      </c>
      <c r="H27" s="17" t="n">
        <f aca="false">IF($C27="",0,$D27*(1+$G27)+$E27+$F27)</f>
        <v>4446.61666666667</v>
      </c>
      <c r="I27" s="32" t="n">
        <v>0</v>
      </c>
      <c r="J27" s="27" t="n">
        <v>0</v>
      </c>
      <c r="K27" s="21" t="n">
        <f aca="false">IFERROR(INDEX($B$56:$B$66,MATCH($A27,$A$56:$A$66,0)),0)</f>
        <v>0</v>
      </c>
      <c r="L27" s="25" t="n">
        <v>9</v>
      </c>
      <c r="M27" s="17" t="n">
        <f aca="false">IF($C27="",0,($D27+$I27+$D27*($J27+$K27))*(1+$G27)+$E27+$F27)</f>
        <v>4446.61666666667</v>
      </c>
      <c r="N27" s="26" t="n">
        <v>2</v>
      </c>
      <c r="O27" s="26" t="n">
        <v>2</v>
      </c>
      <c r="P27" s="26" t="n">
        <v>2</v>
      </c>
      <c r="Q27" s="26" t="n">
        <v>2</v>
      </c>
      <c r="R27" s="26" t="n">
        <v>2</v>
      </c>
      <c r="S27" s="26" t="n">
        <v>2</v>
      </c>
      <c r="T27" s="26" t="n">
        <v>2</v>
      </c>
      <c r="U27" s="26" t="n">
        <v>2</v>
      </c>
      <c r="V27" s="26" t="n">
        <v>2</v>
      </c>
      <c r="W27" s="26" t="n">
        <v>2</v>
      </c>
      <c r="X27" s="26" t="n">
        <v>2</v>
      </c>
      <c r="Y27" s="26" t="n">
        <v>2</v>
      </c>
      <c r="Z27" s="17" t="n">
        <f aca="false">IF(N27="",0,N27*IF(Z$5&gt;=$L27,$M27,$H27))</f>
        <v>8893.23333333333</v>
      </c>
      <c r="AA27" s="17" t="n">
        <f aca="false">IF(O27="",0,O27*IF(AA$5&gt;=$L27,$M27,$H27))</f>
        <v>8893.23333333333</v>
      </c>
      <c r="AB27" s="17" t="n">
        <f aca="false">IF(P27="",0,P27*IF(AB$5&gt;=$L27,$M27,$H27))</f>
        <v>8893.23333333333</v>
      </c>
      <c r="AC27" s="17" t="n">
        <f aca="false">IF(Q27="",0,Q27*IF(AC$5&gt;=$L27,$M27,$H27))</f>
        <v>8893.23333333333</v>
      </c>
      <c r="AD27" s="17" t="n">
        <f aca="false">IF(R27="",0,R27*IF(AD$5&gt;=$L27,$M27,$H27))</f>
        <v>8893.23333333333</v>
      </c>
      <c r="AE27" s="17" t="n">
        <f aca="false">IF(S27="",0,S27*IF(AE$5&gt;=$L27,$M27,$H27))</f>
        <v>8893.23333333333</v>
      </c>
      <c r="AF27" s="17" t="n">
        <f aca="false">IF(T27="",0,T27*IF(AF$5&gt;=$L27,$M27,$H27))</f>
        <v>8893.23333333333</v>
      </c>
      <c r="AG27" s="17" t="n">
        <f aca="false">IF(U27="",0,U27*IF(AG$5&gt;=$L27,$M27,$H27))</f>
        <v>8893.23333333333</v>
      </c>
      <c r="AH27" s="17" t="n">
        <f aca="false">IF(V27="",0,V27*IF(AH$5&gt;=$L27,$M27,$H27))</f>
        <v>8893.23333333333</v>
      </c>
      <c r="AI27" s="17" t="n">
        <f aca="false">IF(W27="",0,W27*IF(AI$5&gt;=$L27,$M27,$H27))</f>
        <v>8893.23333333333</v>
      </c>
      <c r="AJ27" s="17" t="n">
        <f aca="false">IF(X27="",0,X27*IF(AJ$5&gt;=$L27,$M27,$H27))</f>
        <v>8893.23333333333</v>
      </c>
      <c r="AK27" s="17" t="n">
        <f aca="false">IF(Y27="",0,Y27*IF(AK$5&gt;=$L27,$M27,$H27))</f>
        <v>8893.23333333333</v>
      </c>
      <c r="AL27" s="18" t="n">
        <f aca="false">SUM(Z27:AK27)</f>
        <v>106718.8</v>
      </c>
    </row>
    <row r="28" customFormat="false" ht="15" hidden="false" customHeight="false" outlineLevel="0" collapsed="false">
      <c r="A28" s="25" t="s">
        <v>69</v>
      </c>
      <c r="B28" s="25" t="s">
        <v>215</v>
      </c>
      <c r="C28" s="32" t="n">
        <v>100000</v>
      </c>
      <c r="D28" s="17" t="n">
        <f aca="false">IF($C28="",0,$C28/12)</f>
        <v>8333.33333333333</v>
      </c>
      <c r="E28" s="32" t="n">
        <v>523.5</v>
      </c>
      <c r="F28" s="33" t="n">
        <v>135.5</v>
      </c>
      <c r="G28" s="27" t="n">
        <v>0.01</v>
      </c>
      <c r="H28" s="17" t="n">
        <f aca="false">IF($C28="",0,$D28*(1+$G28)+$E28+$F28)</f>
        <v>9075.66666666667</v>
      </c>
      <c r="I28" s="32" t="n">
        <v>0</v>
      </c>
      <c r="J28" s="27" t="n">
        <v>0</v>
      </c>
      <c r="K28" s="21" t="n">
        <f aca="false">IFERROR(INDEX($B$56:$B$66,MATCH($A28,$A$56:$A$66,0)),0)</f>
        <v>0</v>
      </c>
      <c r="L28" s="25" t="n">
        <v>9</v>
      </c>
      <c r="M28" s="17" t="n">
        <f aca="false">IF($C28="",0,($D28+$I28+$D28*($J28+$K28))*(1+$G28)+$E28+$F28)</f>
        <v>9075.66666666667</v>
      </c>
      <c r="N28" s="26" t="n">
        <v>1</v>
      </c>
      <c r="O28" s="26" t="n">
        <v>1</v>
      </c>
      <c r="P28" s="26" t="n">
        <v>1</v>
      </c>
      <c r="Q28" s="26" t="n">
        <v>1</v>
      </c>
      <c r="R28" s="26" t="n">
        <v>1</v>
      </c>
      <c r="S28" s="26" t="n">
        <v>1</v>
      </c>
      <c r="T28" s="26" t="n">
        <v>1</v>
      </c>
      <c r="U28" s="26" t="n">
        <v>1</v>
      </c>
      <c r="V28" s="26" t="n">
        <v>1</v>
      </c>
      <c r="W28" s="26" t="n">
        <v>1</v>
      </c>
      <c r="X28" s="26" t="n">
        <v>1</v>
      </c>
      <c r="Y28" s="26" t="n">
        <v>1</v>
      </c>
      <c r="Z28" s="17" t="n">
        <f aca="false">IF(N28="",0,N28*IF(Z$5&gt;=$L28,$M28,$H28))</f>
        <v>9075.66666666667</v>
      </c>
      <c r="AA28" s="17" t="n">
        <f aca="false">IF(O28="",0,O28*IF(AA$5&gt;=$L28,$M28,$H28))</f>
        <v>9075.66666666667</v>
      </c>
      <c r="AB28" s="17" t="n">
        <f aca="false">IF(P28="",0,P28*IF(AB$5&gt;=$L28,$M28,$H28))</f>
        <v>9075.66666666667</v>
      </c>
      <c r="AC28" s="17" t="n">
        <f aca="false">IF(Q28="",0,Q28*IF(AC$5&gt;=$L28,$M28,$H28))</f>
        <v>9075.66666666667</v>
      </c>
      <c r="AD28" s="17" t="n">
        <f aca="false">IF(R28="",0,R28*IF(AD$5&gt;=$L28,$M28,$H28))</f>
        <v>9075.66666666667</v>
      </c>
      <c r="AE28" s="17" t="n">
        <f aca="false">IF(S28="",0,S28*IF(AE$5&gt;=$L28,$M28,$H28))</f>
        <v>9075.66666666667</v>
      </c>
      <c r="AF28" s="17" t="n">
        <f aca="false">IF(T28="",0,T28*IF(AF$5&gt;=$L28,$M28,$H28))</f>
        <v>9075.66666666667</v>
      </c>
      <c r="AG28" s="17" t="n">
        <f aca="false">IF(U28="",0,U28*IF(AG$5&gt;=$L28,$M28,$H28))</f>
        <v>9075.66666666667</v>
      </c>
      <c r="AH28" s="17" t="n">
        <f aca="false">IF(V28="",0,V28*IF(AH$5&gt;=$L28,$M28,$H28))</f>
        <v>9075.66666666667</v>
      </c>
      <c r="AI28" s="17" t="n">
        <f aca="false">IF(W28="",0,W28*IF(AI$5&gt;=$L28,$M28,$H28))</f>
        <v>9075.66666666667</v>
      </c>
      <c r="AJ28" s="17" t="n">
        <f aca="false">IF(X28="",0,X28*IF(AJ$5&gt;=$L28,$M28,$H28))</f>
        <v>9075.66666666667</v>
      </c>
      <c r="AK28" s="17" t="n">
        <f aca="false">IF(Y28="",0,Y28*IF(AK$5&gt;=$L28,$M28,$H28))</f>
        <v>9075.66666666667</v>
      </c>
      <c r="AL28" s="18" t="n">
        <f aca="false">SUM(Z28:AK28)</f>
        <v>108908</v>
      </c>
    </row>
    <row r="29" customFormat="false" ht="15" hidden="false" customHeight="false" outlineLevel="0" collapsed="false">
      <c r="A29" s="25" t="s">
        <v>69</v>
      </c>
      <c r="B29" s="25" t="s">
        <v>216</v>
      </c>
      <c r="C29" s="32" t="n">
        <v>95400</v>
      </c>
      <c r="D29" s="17" t="n">
        <f aca="false">IF($C29="",0,$C29/12)</f>
        <v>7950</v>
      </c>
      <c r="E29" s="32" t="n">
        <v>523.5</v>
      </c>
      <c r="F29" s="33" t="n">
        <v>135.5</v>
      </c>
      <c r="G29" s="27" t="n">
        <v>0.01</v>
      </c>
      <c r="H29" s="17" t="n">
        <f aca="false">IF($C29="",0,$D29*(1+$G29)+$E29+$F29)</f>
        <v>8688.5</v>
      </c>
      <c r="I29" s="32" t="n">
        <v>0</v>
      </c>
      <c r="J29" s="27" t="n">
        <v>0</v>
      </c>
      <c r="K29" s="21" t="n">
        <f aca="false">IFERROR(INDEX($B$56:$B$66,MATCH($A29,$A$56:$A$66,0)),0)</f>
        <v>0</v>
      </c>
      <c r="L29" s="25" t="n">
        <v>9</v>
      </c>
      <c r="M29" s="17" t="n">
        <f aca="false">IF($C29="",0,($D29+$I29+$D29*($J29+$K29))*(1+$G29)+$E29+$F29)</f>
        <v>8688.5</v>
      </c>
      <c r="N29" s="26" t="n">
        <v>1</v>
      </c>
      <c r="O29" s="26" t="n">
        <v>1</v>
      </c>
      <c r="P29" s="26" t="n">
        <v>1</v>
      </c>
      <c r="Q29" s="26" t="n">
        <v>1</v>
      </c>
      <c r="R29" s="26" t="n">
        <v>1</v>
      </c>
      <c r="S29" s="26" t="n">
        <v>1</v>
      </c>
      <c r="T29" s="26" t="n">
        <v>1</v>
      </c>
      <c r="U29" s="26" t="n">
        <v>1</v>
      </c>
      <c r="V29" s="26" t="n">
        <v>1</v>
      </c>
      <c r="W29" s="26" t="n">
        <v>1</v>
      </c>
      <c r="X29" s="26" t="n">
        <v>1</v>
      </c>
      <c r="Y29" s="26" t="n">
        <v>1</v>
      </c>
      <c r="Z29" s="17" t="n">
        <f aca="false">IF(N29="",0,N29*IF(Z$5&gt;=$L29,$M29,$H29))</f>
        <v>8688.5</v>
      </c>
      <c r="AA29" s="17" t="n">
        <f aca="false">IF(O29="",0,O29*IF(AA$5&gt;=$L29,$M29,$H29))</f>
        <v>8688.5</v>
      </c>
      <c r="AB29" s="17" t="n">
        <f aca="false">IF(P29="",0,P29*IF(AB$5&gt;=$L29,$M29,$H29))</f>
        <v>8688.5</v>
      </c>
      <c r="AC29" s="17" t="n">
        <f aca="false">IF(Q29="",0,Q29*IF(AC$5&gt;=$L29,$M29,$H29))</f>
        <v>8688.5</v>
      </c>
      <c r="AD29" s="17" t="n">
        <f aca="false">IF(R29="",0,R29*IF(AD$5&gt;=$L29,$M29,$H29))</f>
        <v>8688.5</v>
      </c>
      <c r="AE29" s="17" t="n">
        <f aca="false">IF(S29="",0,S29*IF(AE$5&gt;=$L29,$M29,$H29))</f>
        <v>8688.5</v>
      </c>
      <c r="AF29" s="17" t="n">
        <f aca="false">IF(T29="",0,T29*IF(AF$5&gt;=$L29,$M29,$H29))</f>
        <v>8688.5</v>
      </c>
      <c r="AG29" s="17" t="n">
        <f aca="false">IF(U29="",0,U29*IF(AG$5&gt;=$L29,$M29,$H29))</f>
        <v>8688.5</v>
      </c>
      <c r="AH29" s="17" t="n">
        <f aca="false">IF(V29="",0,V29*IF(AH$5&gt;=$L29,$M29,$H29))</f>
        <v>8688.5</v>
      </c>
      <c r="AI29" s="17" t="n">
        <f aca="false">IF(W29="",0,W29*IF(AI$5&gt;=$L29,$M29,$H29))</f>
        <v>8688.5</v>
      </c>
      <c r="AJ29" s="17" t="n">
        <f aca="false">IF(X29="",0,X29*IF(AJ$5&gt;=$L29,$M29,$H29))</f>
        <v>8688.5</v>
      </c>
      <c r="AK29" s="17" t="n">
        <f aca="false">IF(Y29="",0,Y29*IF(AK$5&gt;=$L29,$M29,$H29))</f>
        <v>8688.5</v>
      </c>
      <c r="AL29" s="18" t="n">
        <f aca="false">SUM(Z29:AK29)</f>
        <v>104262</v>
      </c>
    </row>
    <row r="30" customFormat="false" ht="15" hidden="false" customHeight="false" outlineLevel="0" collapsed="false">
      <c r="A30" s="25" t="s">
        <v>63</v>
      </c>
      <c r="B30" s="25" t="s">
        <v>217</v>
      </c>
      <c r="C30" s="32" t="n">
        <v>192000</v>
      </c>
      <c r="D30" s="17" t="n">
        <f aca="false">IF($C30="",0,$C30/12)</f>
        <v>16000</v>
      </c>
      <c r="E30" s="32" t="n">
        <v>523.5</v>
      </c>
      <c r="F30" s="33" t="n">
        <v>75.08</v>
      </c>
      <c r="G30" s="27" t="n">
        <v>0.01</v>
      </c>
      <c r="H30" s="17" t="n">
        <f aca="false">IF($C30="",0,$D30*(1+$G30)+$E30+$F30)</f>
        <v>16758.58</v>
      </c>
      <c r="I30" s="32" t="n">
        <v>0</v>
      </c>
      <c r="J30" s="27" t="n">
        <v>0</v>
      </c>
      <c r="K30" s="21" t="n">
        <f aca="false">IFERROR(INDEX($B$56:$B$66,MATCH($A30,$A$56:$A$66,0)),0)</f>
        <v>0</v>
      </c>
      <c r="L30" s="25" t="n">
        <v>9</v>
      </c>
      <c r="M30" s="17" t="n">
        <f aca="false">IF($C30="",0,($D30+$I30+$D30*($J30+$K30))*(1+$G30)+$E30+$F30)</f>
        <v>16758.58</v>
      </c>
      <c r="N30" s="26" t="n">
        <v>1</v>
      </c>
      <c r="O30" s="26" t="n">
        <v>1</v>
      </c>
      <c r="P30" s="26" t="n">
        <v>1</v>
      </c>
      <c r="Q30" s="26" t="n">
        <v>1</v>
      </c>
      <c r="R30" s="26" t="n">
        <v>1</v>
      </c>
      <c r="S30" s="26" t="n">
        <v>1</v>
      </c>
      <c r="T30" s="26" t="n">
        <v>1</v>
      </c>
      <c r="U30" s="26" t="n">
        <v>1</v>
      </c>
      <c r="V30" s="26" t="n">
        <v>1</v>
      </c>
      <c r="W30" s="26" t="n">
        <v>1</v>
      </c>
      <c r="X30" s="26" t="n">
        <v>1</v>
      </c>
      <c r="Y30" s="26" t="n">
        <v>1</v>
      </c>
      <c r="Z30" s="17" t="n">
        <f aca="false">IF(N30="",0,N30*IF(Z$5&gt;=$L30,$M30,$H30))</f>
        <v>16758.58</v>
      </c>
      <c r="AA30" s="17" t="n">
        <f aca="false">IF(O30="",0,O30*IF(AA$5&gt;=$L30,$M30,$H30))</f>
        <v>16758.58</v>
      </c>
      <c r="AB30" s="17" t="n">
        <f aca="false">IF(P30="",0,P30*IF(AB$5&gt;=$L30,$M30,$H30))</f>
        <v>16758.58</v>
      </c>
      <c r="AC30" s="17" t="n">
        <f aca="false">IF(Q30="",0,Q30*IF(AC$5&gt;=$L30,$M30,$H30))</f>
        <v>16758.58</v>
      </c>
      <c r="AD30" s="17" t="n">
        <f aca="false">IF(R30="",0,R30*IF(AD$5&gt;=$L30,$M30,$H30))</f>
        <v>16758.58</v>
      </c>
      <c r="AE30" s="17" t="n">
        <f aca="false">IF(S30="",0,S30*IF(AE$5&gt;=$L30,$M30,$H30))</f>
        <v>16758.58</v>
      </c>
      <c r="AF30" s="17" t="n">
        <f aca="false">IF(T30="",0,T30*IF(AF$5&gt;=$L30,$M30,$H30))</f>
        <v>16758.58</v>
      </c>
      <c r="AG30" s="17" t="n">
        <f aca="false">IF(U30="",0,U30*IF(AG$5&gt;=$L30,$M30,$H30))</f>
        <v>16758.58</v>
      </c>
      <c r="AH30" s="17" t="n">
        <f aca="false">IF(V30="",0,V30*IF(AH$5&gt;=$L30,$M30,$H30))</f>
        <v>16758.58</v>
      </c>
      <c r="AI30" s="17" t="n">
        <f aca="false">IF(W30="",0,W30*IF(AI$5&gt;=$L30,$M30,$H30))</f>
        <v>16758.58</v>
      </c>
      <c r="AJ30" s="17" t="n">
        <f aca="false">IF(X30="",0,X30*IF(AJ$5&gt;=$L30,$M30,$H30))</f>
        <v>16758.58</v>
      </c>
      <c r="AK30" s="17" t="n">
        <f aca="false">IF(Y30="",0,Y30*IF(AK$5&gt;=$L30,$M30,$H30))</f>
        <v>16758.58</v>
      </c>
      <c r="AL30" s="18" t="n">
        <f aca="false">SUM(Z30:AK30)</f>
        <v>201102.96</v>
      </c>
    </row>
    <row r="31" customFormat="false" ht="15" hidden="false" customHeight="false" outlineLevel="0" collapsed="false">
      <c r="A31" s="25" t="s">
        <v>63</v>
      </c>
      <c r="B31" s="25" t="s">
        <v>218</v>
      </c>
      <c r="C31" s="32" t="n">
        <v>110000</v>
      </c>
      <c r="D31" s="17" t="n">
        <f aca="false">IF($C31="",0,$C31/12)</f>
        <v>9166.66666666667</v>
      </c>
      <c r="E31" s="32" t="n">
        <v>523.5</v>
      </c>
      <c r="F31" s="33" t="n">
        <v>75.08</v>
      </c>
      <c r="G31" s="27" t="n">
        <v>0.01</v>
      </c>
      <c r="H31" s="17" t="n">
        <f aca="false">IF($C31="",0,$D31*(1+$G31)+$E31+$F31)</f>
        <v>9856.91333333333</v>
      </c>
      <c r="I31" s="32" t="n">
        <v>0</v>
      </c>
      <c r="J31" s="27" t="n">
        <v>0</v>
      </c>
      <c r="K31" s="21" t="n">
        <f aca="false">IFERROR(INDEX($B$56:$B$66,MATCH($A31,$A$56:$A$66,0)),0)</f>
        <v>0</v>
      </c>
      <c r="L31" s="25" t="n">
        <v>9</v>
      </c>
      <c r="M31" s="17" t="n">
        <f aca="false">IF($C31="",0,($D31+$I31+$D31*($J31+$K31))*(1+$G31)+$E31+$F31)</f>
        <v>9856.91333333333</v>
      </c>
      <c r="N31" s="26" t="n">
        <v>1</v>
      </c>
      <c r="O31" s="26" t="n">
        <v>1</v>
      </c>
      <c r="P31" s="26" t="n">
        <v>1</v>
      </c>
      <c r="Q31" s="26" t="n">
        <v>1</v>
      </c>
      <c r="R31" s="26" t="n">
        <v>1</v>
      </c>
      <c r="S31" s="26" t="n">
        <v>1</v>
      </c>
      <c r="T31" s="26" t="n">
        <v>1</v>
      </c>
      <c r="U31" s="26" t="n">
        <v>1</v>
      </c>
      <c r="V31" s="26" t="n">
        <v>1</v>
      </c>
      <c r="W31" s="26" t="n">
        <v>1</v>
      </c>
      <c r="X31" s="26" t="n">
        <v>1</v>
      </c>
      <c r="Y31" s="26" t="n">
        <v>1</v>
      </c>
      <c r="Z31" s="17" t="n">
        <f aca="false">IF(N31="",0,N31*IF(Z$5&gt;=$L31,$M31,$H31))</f>
        <v>9856.91333333333</v>
      </c>
      <c r="AA31" s="17" t="n">
        <f aca="false">IF(O31="",0,O31*IF(AA$5&gt;=$L31,$M31,$H31))</f>
        <v>9856.91333333333</v>
      </c>
      <c r="AB31" s="17" t="n">
        <f aca="false">IF(P31="",0,P31*IF(AB$5&gt;=$L31,$M31,$H31))</f>
        <v>9856.91333333333</v>
      </c>
      <c r="AC31" s="17" t="n">
        <f aca="false">IF(Q31="",0,Q31*IF(AC$5&gt;=$L31,$M31,$H31))</f>
        <v>9856.91333333333</v>
      </c>
      <c r="AD31" s="17" t="n">
        <f aca="false">IF(R31="",0,R31*IF(AD$5&gt;=$L31,$M31,$H31))</f>
        <v>9856.91333333333</v>
      </c>
      <c r="AE31" s="17" t="n">
        <f aca="false">IF(S31="",0,S31*IF(AE$5&gt;=$L31,$M31,$H31))</f>
        <v>9856.91333333333</v>
      </c>
      <c r="AF31" s="17" t="n">
        <f aca="false">IF(T31="",0,T31*IF(AF$5&gt;=$L31,$M31,$H31))</f>
        <v>9856.91333333333</v>
      </c>
      <c r="AG31" s="17" t="n">
        <f aca="false">IF(U31="",0,U31*IF(AG$5&gt;=$L31,$M31,$H31))</f>
        <v>9856.91333333333</v>
      </c>
      <c r="AH31" s="17" t="n">
        <f aca="false">IF(V31="",0,V31*IF(AH$5&gt;=$L31,$M31,$H31))</f>
        <v>9856.91333333333</v>
      </c>
      <c r="AI31" s="17" t="n">
        <f aca="false">IF(W31="",0,W31*IF(AI$5&gt;=$L31,$M31,$H31))</f>
        <v>9856.91333333333</v>
      </c>
      <c r="AJ31" s="17" t="n">
        <f aca="false">IF(X31="",0,X31*IF(AJ$5&gt;=$L31,$M31,$H31))</f>
        <v>9856.91333333333</v>
      </c>
      <c r="AK31" s="17" t="n">
        <f aca="false">IF(Y31="",0,Y31*IF(AK$5&gt;=$L31,$M31,$H31))</f>
        <v>9856.91333333333</v>
      </c>
      <c r="AL31" s="18" t="n">
        <f aca="false">SUM(Z31:AK31)</f>
        <v>118282.96</v>
      </c>
    </row>
    <row r="32" customFormat="false" ht="15" hidden="false" customHeight="false" outlineLevel="0" collapsed="false">
      <c r="A32" s="25" t="s">
        <v>63</v>
      </c>
      <c r="B32" s="25" t="s">
        <v>219</v>
      </c>
      <c r="C32" s="32" t="n">
        <v>132000</v>
      </c>
      <c r="D32" s="17" t="n">
        <f aca="false">IF($C32="",0,$C32/12)</f>
        <v>11000</v>
      </c>
      <c r="E32" s="32" t="n">
        <v>523.5</v>
      </c>
      <c r="F32" s="33" t="n">
        <v>75.08</v>
      </c>
      <c r="G32" s="27" t="n">
        <v>0.01</v>
      </c>
      <c r="H32" s="17" t="n">
        <f aca="false">IF($C32="",0,$D32*(1+$G32)+$E32+$F32)</f>
        <v>11708.58</v>
      </c>
      <c r="I32" s="32" t="n">
        <v>0</v>
      </c>
      <c r="J32" s="27" t="n">
        <v>0</v>
      </c>
      <c r="K32" s="21" t="n">
        <f aca="false">IFERROR(INDEX($B$56:$B$66,MATCH($A32,$A$56:$A$66,0)),0)</f>
        <v>0</v>
      </c>
      <c r="L32" s="25" t="n">
        <v>9</v>
      </c>
      <c r="M32" s="17" t="n">
        <f aca="false">IF($C32="",0,($D32+$I32+$D32*($J32+$K32))*(1+$G32)+$E32+$F32)</f>
        <v>11708.58</v>
      </c>
      <c r="N32" s="26" t="n">
        <v>1</v>
      </c>
      <c r="O32" s="26" t="n">
        <v>1</v>
      </c>
      <c r="P32" s="26" t="n">
        <v>1</v>
      </c>
      <c r="Q32" s="26" t="n">
        <v>1</v>
      </c>
      <c r="R32" s="26" t="n">
        <v>1</v>
      </c>
      <c r="S32" s="26" t="n">
        <v>1</v>
      </c>
      <c r="T32" s="26" t="n">
        <v>1</v>
      </c>
      <c r="U32" s="26" t="n">
        <v>1</v>
      </c>
      <c r="V32" s="26" t="n">
        <v>1</v>
      </c>
      <c r="W32" s="26" t="n">
        <v>1</v>
      </c>
      <c r="X32" s="26" t="n">
        <v>1</v>
      </c>
      <c r="Y32" s="26" t="n">
        <v>1</v>
      </c>
      <c r="Z32" s="17" t="n">
        <f aca="false">IF(N32="",0,N32*IF(Z$5&gt;=$L32,$M32,$H32))</f>
        <v>11708.58</v>
      </c>
      <c r="AA32" s="17" t="n">
        <f aca="false">IF(O32="",0,O32*IF(AA$5&gt;=$L32,$M32,$H32))</f>
        <v>11708.58</v>
      </c>
      <c r="AB32" s="17" t="n">
        <f aca="false">IF(P32="",0,P32*IF(AB$5&gt;=$L32,$M32,$H32))</f>
        <v>11708.58</v>
      </c>
      <c r="AC32" s="17" t="n">
        <f aca="false">IF(Q32="",0,Q32*IF(AC$5&gt;=$L32,$M32,$H32))</f>
        <v>11708.58</v>
      </c>
      <c r="AD32" s="17" t="n">
        <f aca="false">IF(R32="",0,R32*IF(AD$5&gt;=$L32,$M32,$H32))</f>
        <v>11708.58</v>
      </c>
      <c r="AE32" s="17" t="n">
        <f aca="false">IF(S32="",0,S32*IF(AE$5&gt;=$L32,$M32,$H32))</f>
        <v>11708.58</v>
      </c>
      <c r="AF32" s="17" t="n">
        <f aca="false">IF(T32="",0,T32*IF(AF$5&gt;=$L32,$M32,$H32))</f>
        <v>11708.58</v>
      </c>
      <c r="AG32" s="17" t="n">
        <f aca="false">IF(U32="",0,U32*IF(AG$5&gt;=$L32,$M32,$H32))</f>
        <v>11708.58</v>
      </c>
      <c r="AH32" s="17" t="n">
        <f aca="false">IF(V32="",0,V32*IF(AH$5&gt;=$L32,$M32,$H32))</f>
        <v>11708.58</v>
      </c>
      <c r="AI32" s="17" t="n">
        <f aca="false">IF(W32="",0,W32*IF(AI$5&gt;=$L32,$M32,$H32))</f>
        <v>11708.58</v>
      </c>
      <c r="AJ32" s="17" t="n">
        <f aca="false">IF(X32="",0,X32*IF(AJ$5&gt;=$L32,$M32,$H32))</f>
        <v>11708.58</v>
      </c>
      <c r="AK32" s="17" t="n">
        <f aca="false">IF(Y32="",0,Y32*IF(AK$5&gt;=$L32,$M32,$H32))</f>
        <v>11708.58</v>
      </c>
      <c r="AL32" s="18" t="n">
        <f aca="false">SUM(Z32:AK32)</f>
        <v>140502.96</v>
      </c>
    </row>
    <row r="33" customFormat="false" ht="15" hidden="false" customHeight="false" outlineLevel="0" collapsed="false">
      <c r="A33" s="25" t="s">
        <v>63</v>
      </c>
      <c r="B33" s="25" t="s">
        <v>220</v>
      </c>
      <c r="C33" s="32" t="n">
        <v>160000</v>
      </c>
      <c r="D33" s="17" t="n">
        <f aca="false">IF($C33="",0,$C33/12)</f>
        <v>13333.3333333333</v>
      </c>
      <c r="E33" s="32" t="n">
        <v>523.5</v>
      </c>
      <c r="F33" s="33" t="n">
        <v>75.08</v>
      </c>
      <c r="G33" s="27" t="n">
        <v>0.01</v>
      </c>
      <c r="H33" s="17" t="n">
        <f aca="false">IF($C33="",0,$D33*(1+$G33)+$E33+$F33)</f>
        <v>14065.2466666667</v>
      </c>
      <c r="I33" s="32" t="n">
        <v>0</v>
      </c>
      <c r="J33" s="27" t="n">
        <v>0</v>
      </c>
      <c r="K33" s="21" t="n">
        <f aca="false">IFERROR(INDEX($B$56:$B$66,MATCH($A33,$A$56:$A$66,0)),0)</f>
        <v>0</v>
      </c>
      <c r="L33" s="25" t="n">
        <v>9</v>
      </c>
      <c r="M33" s="17" t="n">
        <f aca="false">IF($C33="",0,($D33+$I33+$D33*($J33+$K33))*(1+$G33)+$E33+$F33)</f>
        <v>14065.2466666667</v>
      </c>
      <c r="N33" s="26" t="n">
        <v>1</v>
      </c>
      <c r="O33" s="26" t="n">
        <v>1</v>
      </c>
      <c r="P33" s="26" t="n">
        <v>1</v>
      </c>
      <c r="Q33" s="26" t="n">
        <v>1</v>
      </c>
      <c r="R33" s="26" t="n">
        <v>1</v>
      </c>
      <c r="S33" s="26" t="n">
        <v>1</v>
      </c>
      <c r="T33" s="26" t="n">
        <v>1</v>
      </c>
      <c r="U33" s="26" t="n">
        <v>1</v>
      </c>
      <c r="V33" s="26" t="n">
        <v>1</v>
      </c>
      <c r="W33" s="26" t="n">
        <v>1</v>
      </c>
      <c r="X33" s="26" t="n">
        <v>1</v>
      </c>
      <c r="Y33" s="26" t="n">
        <v>1</v>
      </c>
      <c r="Z33" s="17" t="n">
        <f aca="false">IF(N33="",0,N33*IF(Z$5&gt;=$L33,$M33,$H33))</f>
        <v>14065.2466666667</v>
      </c>
      <c r="AA33" s="17" t="n">
        <f aca="false">IF(O33="",0,O33*IF(AA$5&gt;=$L33,$M33,$H33))</f>
        <v>14065.2466666667</v>
      </c>
      <c r="AB33" s="17" t="n">
        <f aca="false">IF(P33="",0,P33*IF(AB$5&gt;=$L33,$M33,$H33))</f>
        <v>14065.2466666667</v>
      </c>
      <c r="AC33" s="17" t="n">
        <f aca="false">IF(Q33="",0,Q33*IF(AC$5&gt;=$L33,$M33,$H33))</f>
        <v>14065.2466666667</v>
      </c>
      <c r="AD33" s="17" t="n">
        <f aca="false">IF(R33="",0,R33*IF(AD$5&gt;=$L33,$M33,$H33))</f>
        <v>14065.2466666667</v>
      </c>
      <c r="AE33" s="17" t="n">
        <f aca="false">IF(S33="",0,S33*IF(AE$5&gt;=$L33,$M33,$H33))</f>
        <v>14065.2466666667</v>
      </c>
      <c r="AF33" s="17" t="n">
        <f aca="false">IF(T33="",0,T33*IF(AF$5&gt;=$L33,$M33,$H33))</f>
        <v>14065.2466666667</v>
      </c>
      <c r="AG33" s="17" t="n">
        <f aca="false">IF(U33="",0,U33*IF(AG$5&gt;=$L33,$M33,$H33))</f>
        <v>14065.2466666667</v>
      </c>
      <c r="AH33" s="17" t="n">
        <f aca="false">IF(V33="",0,V33*IF(AH$5&gt;=$L33,$M33,$H33))</f>
        <v>14065.2466666667</v>
      </c>
      <c r="AI33" s="17" t="n">
        <f aca="false">IF(W33="",0,W33*IF(AI$5&gt;=$L33,$M33,$H33))</f>
        <v>14065.2466666667</v>
      </c>
      <c r="AJ33" s="17" t="n">
        <f aca="false">IF(X33="",0,X33*IF(AJ$5&gt;=$L33,$M33,$H33))</f>
        <v>14065.2466666667</v>
      </c>
      <c r="AK33" s="17" t="n">
        <f aca="false">IF(Y33="",0,Y33*IF(AK$5&gt;=$L33,$M33,$H33))</f>
        <v>14065.2466666667</v>
      </c>
      <c r="AL33" s="18" t="n">
        <f aca="false">SUM(Z33:AK33)</f>
        <v>168782.96</v>
      </c>
    </row>
    <row r="34" customFormat="false" ht="15" hidden="false" customHeight="false" outlineLevel="0" collapsed="false">
      <c r="A34" s="25" t="s">
        <v>63</v>
      </c>
      <c r="B34" s="25" t="s">
        <v>221</v>
      </c>
      <c r="C34" s="32" t="n">
        <v>150000</v>
      </c>
      <c r="D34" s="17" t="n">
        <f aca="false">IF($C34="",0,$C34/12)</f>
        <v>12500</v>
      </c>
      <c r="E34" s="32" t="n">
        <v>523.5</v>
      </c>
      <c r="F34" s="33" t="n">
        <v>75.08</v>
      </c>
      <c r="G34" s="27" t="n">
        <v>0.01</v>
      </c>
      <c r="H34" s="17" t="n">
        <f aca="false">IF($C34="",0,$D34*(1+$G34)+$E34+$F34)</f>
        <v>13223.58</v>
      </c>
      <c r="I34" s="32" t="n">
        <v>0</v>
      </c>
      <c r="J34" s="27" t="n">
        <v>0</v>
      </c>
      <c r="K34" s="21" t="n">
        <f aca="false">IFERROR(INDEX($B$56:$B$66,MATCH($A34,$A$56:$A$66,0)),0)</f>
        <v>0</v>
      </c>
      <c r="L34" s="25" t="n">
        <v>9</v>
      </c>
      <c r="M34" s="17" t="n">
        <f aca="false">IF($C34="",0,($D34+$I34+$D34*($J34+$K34))*(1+$G34)+$E34+$F34)</f>
        <v>13223.58</v>
      </c>
      <c r="N34" s="26" t="n">
        <v>1</v>
      </c>
      <c r="O34" s="26" t="n">
        <v>1</v>
      </c>
      <c r="P34" s="26" t="n">
        <v>1</v>
      </c>
      <c r="Q34" s="26" t="n">
        <v>1</v>
      </c>
      <c r="R34" s="26" t="n">
        <v>1</v>
      </c>
      <c r="S34" s="26" t="n">
        <v>1</v>
      </c>
      <c r="T34" s="26" t="n">
        <v>1</v>
      </c>
      <c r="U34" s="26" t="n">
        <v>1</v>
      </c>
      <c r="V34" s="26" t="n">
        <v>1</v>
      </c>
      <c r="W34" s="26" t="n">
        <v>1</v>
      </c>
      <c r="X34" s="26" t="n">
        <v>1</v>
      </c>
      <c r="Y34" s="26" t="n">
        <v>1</v>
      </c>
      <c r="Z34" s="17" t="n">
        <f aca="false">IF(N34="",0,N34*IF(Z$5&gt;=$L34,$M34,$H34))</f>
        <v>13223.58</v>
      </c>
      <c r="AA34" s="17" t="n">
        <f aca="false">IF(O34="",0,O34*IF(AA$5&gt;=$L34,$M34,$H34))</f>
        <v>13223.58</v>
      </c>
      <c r="AB34" s="17" t="n">
        <f aca="false">IF(P34="",0,P34*IF(AB$5&gt;=$L34,$M34,$H34))</f>
        <v>13223.58</v>
      </c>
      <c r="AC34" s="17" t="n">
        <f aca="false">IF(Q34="",0,Q34*IF(AC$5&gt;=$L34,$M34,$H34))</f>
        <v>13223.58</v>
      </c>
      <c r="AD34" s="17" t="n">
        <f aca="false">IF(R34="",0,R34*IF(AD$5&gt;=$L34,$M34,$H34))</f>
        <v>13223.58</v>
      </c>
      <c r="AE34" s="17" t="n">
        <f aca="false">IF(S34="",0,S34*IF(AE$5&gt;=$L34,$M34,$H34))</f>
        <v>13223.58</v>
      </c>
      <c r="AF34" s="17" t="n">
        <f aca="false">IF(T34="",0,T34*IF(AF$5&gt;=$L34,$M34,$H34))</f>
        <v>13223.58</v>
      </c>
      <c r="AG34" s="17" t="n">
        <f aca="false">IF(U34="",0,U34*IF(AG$5&gt;=$L34,$M34,$H34))</f>
        <v>13223.58</v>
      </c>
      <c r="AH34" s="17" t="n">
        <f aca="false">IF(V34="",0,V34*IF(AH$5&gt;=$L34,$M34,$H34))</f>
        <v>13223.58</v>
      </c>
      <c r="AI34" s="17" t="n">
        <f aca="false">IF(W34="",0,W34*IF(AI$5&gt;=$L34,$M34,$H34))</f>
        <v>13223.58</v>
      </c>
      <c r="AJ34" s="17" t="n">
        <f aca="false">IF(X34="",0,X34*IF(AJ$5&gt;=$L34,$M34,$H34))</f>
        <v>13223.58</v>
      </c>
      <c r="AK34" s="17" t="n">
        <f aca="false">IF(Y34="",0,Y34*IF(AK$5&gt;=$L34,$M34,$H34))</f>
        <v>13223.58</v>
      </c>
      <c r="AL34" s="18" t="n">
        <f aca="false">SUM(Z34:AK34)</f>
        <v>158682.96</v>
      </c>
    </row>
    <row r="35" customFormat="false" ht="15" hidden="false" customHeight="false" outlineLevel="0" collapsed="false">
      <c r="A35" s="25" t="s">
        <v>63</v>
      </c>
      <c r="B35" s="25" t="s">
        <v>222</v>
      </c>
      <c r="C35" s="32" t="n">
        <v>130000</v>
      </c>
      <c r="D35" s="17" t="n">
        <f aca="false">IF($C35="",0,$C35/12)</f>
        <v>10833.3333333333</v>
      </c>
      <c r="E35" s="32" t="n">
        <v>523.5</v>
      </c>
      <c r="F35" s="33" t="n">
        <v>75.08</v>
      </c>
      <c r="G35" s="27" t="n">
        <v>0.01</v>
      </c>
      <c r="H35" s="17" t="n">
        <f aca="false">IF($C35="",0,$D35*(1+$G35)+$E35+$F35)</f>
        <v>11540.2466666667</v>
      </c>
      <c r="I35" s="32" t="n">
        <v>0</v>
      </c>
      <c r="J35" s="27" t="n">
        <v>0</v>
      </c>
      <c r="K35" s="21" t="n">
        <f aca="false">IFERROR(INDEX($B$56:$B$66,MATCH($A35,$A$56:$A$66,0)),0)</f>
        <v>0</v>
      </c>
      <c r="L35" s="25" t="n">
        <v>9</v>
      </c>
      <c r="M35" s="17" t="n">
        <f aca="false">IF($C35="",0,($D35+$I35+$D35*($J35+$K35))*(1+$G35)+$E35+$F35)</f>
        <v>11540.2466666667</v>
      </c>
      <c r="N35" s="26" t="n">
        <v>1</v>
      </c>
      <c r="O35" s="26" t="n">
        <v>1</v>
      </c>
      <c r="P35" s="26" t="n">
        <v>1</v>
      </c>
      <c r="Q35" s="26" t="n">
        <v>1</v>
      </c>
      <c r="R35" s="26" t="n">
        <v>1</v>
      </c>
      <c r="S35" s="26" t="n">
        <v>1</v>
      </c>
      <c r="T35" s="26" t="n">
        <v>1</v>
      </c>
      <c r="U35" s="26" t="n">
        <v>1</v>
      </c>
      <c r="V35" s="26" t="n">
        <v>1</v>
      </c>
      <c r="W35" s="26" t="n">
        <v>1</v>
      </c>
      <c r="X35" s="26" t="n">
        <v>1</v>
      </c>
      <c r="Y35" s="26" t="n">
        <v>1</v>
      </c>
      <c r="Z35" s="17" t="n">
        <f aca="false">IF(N35="",0,N35*IF(Z$5&gt;=$L35,$M35,$H35))</f>
        <v>11540.2466666667</v>
      </c>
      <c r="AA35" s="17" t="n">
        <f aca="false">IF(O35="",0,O35*IF(AA$5&gt;=$L35,$M35,$H35))</f>
        <v>11540.2466666667</v>
      </c>
      <c r="AB35" s="17" t="n">
        <f aca="false">IF(P35="",0,P35*IF(AB$5&gt;=$L35,$M35,$H35))</f>
        <v>11540.2466666667</v>
      </c>
      <c r="AC35" s="17" t="n">
        <f aca="false">IF(Q35="",0,Q35*IF(AC$5&gt;=$L35,$M35,$H35))</f>
        <v>11540.2466666667</v>
      </c>
      <c r="AD35" s="17" t="n">
        <f aca="false">IF(R35="",0,R35*IF(AD$5&gt;=$L35,$M35,$H35))</f>
        <v>11540.2466666667</v>
      </c>
      <c r="AE35" s="17" t="n">
        <f aca="false">IF(S35="",0,S35*IF(AE$5&gt;=$L35,$M35,$H35))</f>
        <v>11540.2466666667</v>
      </c>
      <c r="AF35" s="17" t="n">
        <f aca="false">IF(T35="",0,T35*IF(AF$5&gt;=$L35,$M35,$H35))</f>
        <v>11540.2466666667</v>
      </c>
      <c r="AG35" s="17" t="n">
        <f aca="false">IF(U35="",0,U35*IF(AG$5&gt;=$L35,$M35,$H35))</f>
        <v>11540.2466666667</v>
      </c>
      <c r="AH35" s="17" t="n">
        <f aca="false">IF(V35="",0,V35*IF(AH$5&gt;=$L35,$M35,$H35))</f>
        <v>11540.2466666667</v>
      </c>
      <c r="AI35" s="17" t="n">
        <f aca="false">IF(W35="",0,W35*IF(AI$5&gt;=$L35,$M35,$H35))</f>
        <v>11540.2466666667</v>
      </c>
      <c r="AJ35" s="17" t="n">
        <f aca="false">IF(X35="",0,X35*IF(AJ$5&gt;=$L35,$M35,$H35))</f>
        <v>11540.2466666667</v>
      </c>
      <c r="AK35" s="17" t="n">
        <f aca="false">IF(Y35="",0,Y35*IF(AK$5&gt;=$L35,$M35,$H35))</f>
        <v>11540.2466666667</v>
      </c>
      <c r="AL35" s="18" t="n">
        <f aca="false">SUM(Z35:AK35)</f>
        <v>138482.96</v>
      </c>
    </row>
    <row r="36" customFormat="false" ht="15" hidden="false" customHeight="false" outlineLevel="0" collapsed="false">
      <c r="A36" s="25" t="s">
        <v>63</v>
      </c>
      <c r="B36" s="25" t="s">
        <v>223</v>
      </c>
      <c r="C36" s="32" t="n">
        <v>57600</v>
      </c>
      <c r="D36" s="17" t="n">
        <f aca="false">IF($C36="",0,$C36/12)</f>
        <v>4800</v>
      </c>
      <c r="E36" s="32" t="n">
        <v>0</v>
      </c>
      <c r="F36" s="33" t="n">
        <v>41.45</v>
      </c>
      <c r="G36" s="27" t="n">
        <v>0.01</v>
      </c>
      <c r="H36" s="17" t="n">
        <f aca="false">IF($C36="",0,$D36*(1+$G36)+$E36+$F36)</f>
        <v>4889.45</v>
      </c>
      <c r="I36" s="32" t="n">
        <v>0</v>
      </c>
      <c r="J36" s="27" t="n">
        <v>0</v>
      </c>
      <c r="K36" s="21" t="n">
        <f aca="false">IFERROR(INDEX($B$56:$B$66,MATCH($A36,$A$56:$A$66,0)),0)</f>
        <v>0</v>
      </c>
      <c r="L36" s="25" t="n">
        <v>9</v>
      </c>
      <c r="M36" s="17" t="n">
        <f aca="false">IF($C36="",0,($D36+$I36+$D36*($J36+$K36))*(1+$G36)+$E36+$F36)</f>
        <v>4889.45</v>
      </c>
      <c r="N36" s="26" t="n">
        <v>1</v>
      </c>
      <c r="O36" s="26" t="n">
        <v>1</v>
      </c>
      <c r="P36" s="26" t="n">
        <v>1</v>
      </c>
      <c r="Q36" s="26" t="n">
        <v>1</v>
      </c>
      <c r="R36" s="26" t="n">
        <v>1</v>
      </c>
      <c r="S36" s="26" t="n">
        <v>1</v>
      </c>
      <c r="T36" s="26" t="n">
        <v>1</v>
      </c>
      <c r="U36" s="26" t="n">
        <v>1</v>
      </c>
      <c r="V36" s="26" t="n">
        <v>1</v>
      </c>
      <c r="W36" s="26" t="n">
        <v>1</v>
      </c>
      <c r="X36" s="26" t="n">
        <v>1</v>
      </c>
      <c r="Y36" s="26" t="n">
        <v>1</v>
      </c>
      <c r="Z36" s="17" t="n">
        <f aca="false">IF(N36="",0,N36*IF(Z$5&gt;=$L36,$M36,$H36))</f>
        <v>4889.45</v>
      </c>
      <c r="AA36" s="17" t="n">
        <f aca="false">IF(O36="",0,O36*IF(AA$5&gt;=$L36,$M36,$H36))</f>
        <v>4889.45</v>
      </c>
      <c r="AB36" s="17" t="n">
        <f aca="false">IF(P36="",0,P36*IF(AB$5&gt;=$L36,$M36,$H36))</f>
        <v>4889.45</v>
      </c>
      <c r="AC36" s="17" t="n">
        <f aca="false">IF(Q36="",0,Q36*IF(AC$5&gt;=$L36,$M36,$H36))</f>
        <v>4889.45</v>
      </c>
      <c r="AD36" s="17" t="n">
        <f aca="false">IF(R36="",0,R36*IF(AD$5&gt;=$L36,$M36,$H36))</f>
        <v>4889.45</v>
      </c>
      <c r="AE36" s="17" t="n">
        <f aca="false">IF(S36="",0,S36*IF(AE$5&gt;=$L36,$M36,$H36))</f>
        <v>4889.45</v>
      </c>
      <c r="AF36" s="17" t="n">
        <f aca="false">IF(T36="",0,T36*IF(AF$5&gt;=$L36,$M36,$H36))</f>
        <v>4889.45</v>
      </c>
      <c r="AG36" s="17" t="n">
        <f aca="false">IF(U36="",0,U36*IF(AG$5&gt;=$L36,$M36,$H36))</f>
        <v>4889.45</v>
      </c>
      <c r="AH36" s="17" t="n">
        <f aca="false">IF(V36="",0,V36*IF(AH$5&gt;=$L36,$M36,$H36))</f>
        <v>4889.45</v>
      </c>
      <c r="AI36" s="17" t="n">
        <f aca="false">IF(W36="",0,W36*IF(AI$5&gt;=$L36,$M36,$H36))</f>
        <v>4889.45</v>
      </c>
      <c r="AJ36" s="17" t="n">
        <f aca="false">IF(X36="",0,X36*IF(AJ$5&gt;=$L36,$M36,$H36))</f>
        <v>4889.45</v>
      </c>
      <c r="AK36" s="17" t="n">
        <f aca="false">IF(Y36="",0,Y36*IF(AK$5&gt;=$L36,$M36,$H36))</f>
        <v>4889.45</v>
      </c>
      <c r="AL36" s="18" t="n">
        <f aca="false">SUM(Z36:AK36)</f>
        <v>58673.4</v>
      </c>
    </row>
    <row r="37" customFormat="false" ht="15" hidden="false" customHeight="false" outlineLevel="0" collapsed="false">
      <c r="A37" s="25" t="s">
        <v>63</v>
      </c>
      <c r="B37" s="25" t="s">
        <v>224</v>
      </c>
      <c r="C37" s="32" t="n">
        <v>40000</v>
      </c>
      <c r="D37" s="17" t="n">
        <f aca="false">IF($C37="",0,$C37/12)</f>
        <v>3333.33333333333</v>
      </c>
      <c r="E37" s="32" t="n">
        <v>523.5</v>
      </c>
      <c r="F37" s="33" t="n">
        <v>75.08</v>
      </c>
      <c r="G37" s="27" t="n">
        <v>0.01</v>
      </c>
      <c r="H37" s="17" t="n">
        <f aca="false">IF($C37="",0,$D37*(1+$G37)+$E37+$F37)</f>
        <v>3965.24666666667</v>
      </c>
      <c r="I37" s="32" t="n">
        <v>0</v>
      </c>
      <c r="J37" s="27" t="n">
        <v>0</v>
      </c>
      <c r="K37" s="21" t="n">
        <f aca="false">IFERROR(INDEX($B$56:$B$66,MATCH($A37,$A$56:$A$66,0)),0)</f>
        <v>0</v>
      </c>
      <c r="L37" s="25" t="n">
        <v>9</v>
      </c>
      <c r="M37" s="17" t="n">
        <f aca="false">IF($C37="",0,($D37+$I37+$D37*($J37+$K37))*(1+$G37)+$E37+$F37)</f>
        <v>3965.24666666667</v>
      </c>
      <c r="N37" s="26" t="n">
        <v>1</v>
      </c>
      <c r="O37" s="26" t="n">
        <v>1</v>
      </c>
      <c r="P37" s="26" t="n">
        <v>1</v>
      </c>
      <c r="Q37" s="26" t="n">
        <v>1</v>
      </c>
      <c r="R37" s="26" t="n">
        <v>1</v>
      </c>
      <c r="S37" s="26" t="n">
        <v>1</v>
      </c>
      <c r="T37" s="26" t="n">
        <v>1</v>
      </c>
      <c r="U37" s="26" t="n">
        <v>1</v>
      </c>
      <c r="V37" s="26" t="n">
        <v>1</v>
      </c>
      <c r="W37" s="26" t="n">
        <v>1</v>
      </c>
      <c r="X37" s="26" t="n">
        <v>1</v>
      </c>
      <c r="Y37" s="26" t="n">
        <v>1</v>
      </c>
      <c r="Z37" s="17" t="n">
        <f aca="false">IF(N37="",0,N37*IF(Z$5&gt;=$L37,$M37,$H37))</f>
        <v>3965.24666666667</v>
      </c>
      <c r="AA37" s="17" t="n">
        <f aca="false">IF(O37="",0,O37*IF(AA$5&gt;=$L37,$M37,$H37))</f>
        <v>3965.24666666667</v>
      </c>
      <c r="AB37" s="17" t="n">
        <f aca="false">IF(P37="",0,P37*IF(AB$5&gt;=$L37,$M37,$H37))</f>
        <v>3965.24666666667</v>
      </c>
      <c r="AC37" s="17" t="n">
        <f aca="false">IF(Q37="",0,Q37*IF(AC$5&gt;=$L37,$M37,$H37))</f>
        <v>3965.24666666667</v>
      </c>
      <c r="AD37" s="17" t="n">
        <f aca="false">IF(R37="",0,R37*IF(AD$5&gt;=$L37,$M37,$H37))</f>
        <v>3965.24666666667</v>
      </c>
      <c r="AE37" s="17" t="n">
        <f aca="false">IF(S37="",0,S37*IF(AE$5&gt;=$L37,$M37,$H37))</f>
        <v>3965.24666666667</v>
      </c>
      <c r="AF37" s="17" t="n">
        <f aca="false">IF(T37="",0,T37*IF(AF$5&gt;=$L37,$M37,$H37))</f>
        <v>3965.24666666667</v>
      </c>
      <c r="AG37" s="17" t="n">
        <f aca="false">IF(U37="",0,U37*IF(AG$5&gt;=$L37,$M37,$H37))</f>
        <v>3965.24666666667</v>
      </c>
      <c r="AH37" s="17" t="n">
        <f aca="false">IF(V37="",0,V37*IF(AH$5&gt;=$L37,$M37,$H37))</f>
        <v>3965.24666666667</v>
      </c>
      <c r="AI37" s="17" t="n">
        <f aca="false">IF(W37="",0,W37*IF(AI$5&gt;=$L37,$M37,$H37))</f>
        <v>3965.24666666667</v>
      </c>
      <c r="AJ37" s="17" t="n">
        <f aca="false">IF(X37="",0,X37*IF(AJ$5&gt;=$L37,$M37,$H37))</f>
        <v>3965.24666666667</v>
      </c>
      <c r="AK37" s="17" t="n">
        <f aca="false">IF(Y37="",0,Y37*IF(AK$5&gt;=$L37,$M37,$H37))</f>
        <v>3965.24666666667</v>
      </c>
      <c r="AL37" s="18" t="n">
        <f aca="false">SUM(Z37:AK37)</f>
        <v>47582.96</v>
      </c>
    </row>
    <row r="38" customFormat="false" ht="15" hidden="false" customHeight="false" outlineLevel="0" collapsed="false">
      <c r="A38" s="25" t="s">
        <v>63</v>
      </c>
      <c r="B38" s="25" t="s">
        <v>225</v>
      </c>
      <c r="C38" s="32" t="n">
        <v>85020</v>
      </c>
      <c r="D38" s="17" t="n">
        <f aca="false">IF($C38="",0,$C38/12)</f>
        <v>7085</v>
      </c>
      <c r="E38" s="32" t="n">
        <v>523.5</v>
      </c>
      <c r="F38" s="33" t="n">
        <v>75.08</v>
      </c>
      <c r="G38" s="27" t="n">
        <v>0.01</v>
      </c>
      <c r="H38" s="17" t="n">
        <f aca="false">IF($C38="",0,$D38*(1+$G38)+$E38+$F38)</f>
        <v>7754.43</v>
      </c>
      <c r="I38" s="32" t="n">
        <v>0</v>
      </c>
      <c r="J38" s="27" t="n">
        <v>0</v>
      </c>
      <c r="K38" s="21" t="n">
        <f aca="false">IFERROR(INDEX($B$56:$B$66,MATCH($A38,$A$56:$A$66,0)),0)</f>
        <v>0</v>
      </c>
      <c r="L38" s="25" t="n">
        <v>9</v>
      </c>
      <c r="M38" s="17" t="n">
        <f aca="false">IF($C38="",0,($D38+$I38+$D38*($J38+$K38))*(1+$G38)+$E38+$F38)</f>
        <v>7754.43</v>
      </c>
      <c r="N38" s="26" t="n">
        <v>1</v>
      </c>
      <c r="O38" s="26" t="n">
        <v>1</v>
      </c>
      <c r="P38" s="26" t="n">
        <v>1</v>
      </c>
      <c r="Q38" s="26" t="n">
        <v>1</v>
      </c>
      <c r="R38" s="26" t="n">
        <v>1</v>
      </c>
      <c r="S38" s="26" t="n">
        <v>1</v>
      </c>
      <c r="T38" s="26" t="n">
        <v>1</v>
      </c>
      <c r="U38" s="26" t="n">
        <v>1</v>
      </c>
      <c r="V38" s="26" t="n">
        <v>1</v>
      </c>
      <c r="W38" s="26" t="n">
        <v>1</v>
      </c>
      <c r="X38" s="26" t="n">
        <v>1</v>
      </c>
      <c r="Y38" s="26" t="n">
        <v>1</v>
      </c>
      <c r="Z38" s="17" t="n">
        <f aca="false">IF(N38="",0,N38*IF(Z$5&gt;=$L38,$M38,$H38))</f>
        <v>7754.43</v>
      </c>
      <c r="AA38" s="17" t="n">
        <f aca="false">IF(O38="",0,O38*IF(AA$5&gt;=$L38,$M38,$H38))</f>
        <v>7754.43</v>
      </c>
      <c r="AB38" s="17" t="n">
        <f aca="false">IF(P38="",0,P38*IF(AB$5&gt;=$L38,$M38,$H38))</f>
        <v>7754.43</v>
      </c>
      <c r="AC38" s="17" t="n">
        <f aca="false">IF(Q38="",0,Q38*IF(AC$5&gt;=$L38,$M38,$H38))</f>
        <v>7754.43</v>
      </c>
      <c r="AD38" s="17" t="n">
        <f aca="false">IF(R38="",0,R38*IF(AD$5&gt;=$L38,$M38,$H38))</f>
        <v>7754.43</v>
      </c>
      <c r="AE38" s="17" t="n">
        <f aca="false">IF(S38="",0,S38*IF(AE$5&gt;=$L38,$M38,$H38))</f>
        <v>7754.43</v>
      </c>
      <c r="AF38" s="17" t="n">
        <f aca="false">IF(T38="",0,T38*IF(AF$5&gt;=$L38,$M38,$H38))</f>
        <v>7754.43</v>
      </c>
      <c r="AG38" s="17" t="n">
        <f aca="false">IF(U38="",0,U38*IF(AG$5&gt;=$L38,$M38,$H38))</f>
        <v>7754.43</v>
      </c>
      <c r="AH38" s="17" t="n">
        <f aca="false">IF(V38="",0,V38*IF(AH$5&gt;=$L38,$M38,$H38))</f>
        <v>7754.43</v>
      </c>
      <c r="AI38" s="17" t="n">
        <f aca="false">IF(W38="",0,W38*IF(AI$5&gt;=$L38,$M38,$H38))</f>
        <v>7754.43</v>
      </c>
      <c r="AJ38" s="17" t="n">
        <f aca="false">IF(X38="",0,X38*IF(AJ$5&gt;=$L38,$M38,$H38))</f>
        <v>7754.43</v>
      </c>
      <c r="AK38" s="17" t="n">
        <f aca="false">IF(Y38="",0,Y38*IF(AK$5&gt;=$L38,$M38,$H38))</f>
        <v>7754.43</v>
      </c>
      <c r="AL38" s="18" t="n">
        <f aca="false">SUM(Z38:AK38)</f>
        <v>93053.16</v>
      </c>
    </row>
    <row r="39" customFormat="false" ht="15" hidden="false" customHeight="false" outlineLevel="0" collapsed="false">
      <c r="A39" s="25"/>
      <c r="B39" s="25"/>
      <c r="C39" s="32"/>
      <c r="D39" s="17" t="n">
        <f aca="false">IF($C39="",0,$C39/12)</f>
        <v>0</v>
      </c>
      <c r="E39" s="32" t="n">
        <v>523.5</v>
      </c>
      <c r="F39" s="33" t="n">
        <v>75</v>
      </c>
      <c r="G39" s="27" t="n">
        <v>0.1</v>
      </c>
      <c r="H39" s="17" t="n">
        <f aca="false">IF($C39="",0,$D39*(1+$G39)+$E39+$F39)</f>
        <v>0</v>
      </c>
      <c r="I39" s="32" t="n">
        <v>0</v>
      </c>
      <c r="J39" s="27" t="n">
        <v>0</v>
      </c>
      <c r="K39" s="21" t="n">
        <f aca="false">IFERROR(INDEX($B$56:$B$66,MATCH($A39,$A$56:$A$66,0)),0)</f>
        <v>0</v>
      </c>
      <c r="L39" s="25" t="n">
        <v>9</v>
      </c>
      <c r="M39" s="17" t="n">
        <f aca="false">IF($C39="",0,($D39+$I39+$D39*($J39+$K39))*(1+$G39)+$E39+$F39)</f>
        <v>0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17" t="n">
        <f aca="false">IF(N39="",0,N39*IF(Z$5&gt;=$L39,$M39,$H39))</f>
        <v>0</v>
      </c>
      <c r="AA39" s="17" t="n">
        <f aca="false">IF(O39="",0,O39*IF(AA$5&gt;=$L39,$M39,$H39))</f>
        <v>0</v>
      </c>
      <c r="AB39" s="17" t="n">
        <f aca="false">IF(P39="",0,P39*IF(AB$5&gt;=$L39,$M39,$H39))</f>
        <v>0</v>
      </c>
      <c r="AC39" s="17" t="n">
        <f aca="false">IF(Q39="",0,Q39*IF(AC$5&gt;=$L39,$M39,$H39))</f>
        <v>0</v>
      </c>
      <c r="AD39" s="17" t="n">
        <f aca="false">IF(R39="",0,R39*IF(AD$5&gt;=$L39,$M39,$H39))</f>
        <v>0</v>
      </c>
      <c r="AE39" s="17" t="n">
        <f aca="false">IF(S39="",0,S39*IF(AE$5&gt;=$L39,$M39,$H39))</f>
        <v>0</v>
      </c>
      <c r="AF39" s="17" t="n">
        <f aca="false">IF(T39="",0,T39*IF(AF$5&gt;=$L39,$M39,$H39))</f>
        <v>0</v>
      </c>
      <c r="AG39" s="17" t="n">
        <f aca="false">IF(U39="",0,U39*IF(AG$5&gt;=$L39,$M39,$H39))</f>
        <v>0</v>
      </c>
      <c r="AH39" s="17" t="n">
        <f aca="false">IF(V39="",0,V39*IF(AH$5&gt;=$L39,$M39,$H39))</f>
        <v>0</v>
      </c>
      <c r="AI39" s="17" t="n">
        <f aca="false">IF(W39="",0,W39*IF(AI$5&gt;=$L39,$M39,$H39))</f>
        <v>0</v>
      </c>
      <c r="AJ39" s="17" t="n">
        <f aca="false">IF(X39="",0,X39*IF(AJ$5&gt;=$L39,$M39,$H39))</f>
        <v>0</v>
      </c>
      <c r="AK39" s="17" t="n">
        <f aca="false">IF(Y39="",0,Y39*IF(AK$5&gt;=$L39,$M39,$H39))</f>
        <v>0</v>
      </c>
      <c r="AL39" s="18" t="n">
        <f aca="false">SUM(Z39:AK39)</f>
        <v>0</v>
      </c>
    </row>
    <row r="40" customFormat="false" ht="15" hidden="false" customHeight="false" outlineLevel="0" collapsed="false">
      <c r="A40" s="25"/>
      <c r="B40" s="25"/>
      <c r="C40" s="32"/>
      <c r="D40" s="17" t="n">
        <f aca="false">IF($C40="",0,$C40/12)</f>
        <v>0</v>
      </c>
      <c r="E40" s="32" t="n">
        <v>523.5</v>
      </c>
      <c r="F40" s="33" t="n">
        <v>75</v>
      </c>
      <c r="G40" s="27" t="n">
        <v>0.1</v>
      </c>
      <c r="H40" s="17" t="n">
        <f aca="false">IF($C40="",0,$D40*(1+$G40)+$E40+$F40)</f>
        <v>0</v>
      </c>
      <c r="I40" s="32" t="n">
        <v>0</v>
      </c>
      <c r="J40" s="27" t="n">
        <v>0</v>
      </c>
      <c r="K40" s="21" t="n">
        <f aca="false">IFERROR(INDEX($B$56:$B$66,MATCH($A40,$A$56:$A$66,0)),0)</f>
        <v>0</v>
      </c>
      <c r="L40" s="25" t="n">
        <v>9</v>
      </c>
      <c r="M40" s="17" t="n">
        <f aca="false">IF($C40="",0,($D40+$I40+$D40*($J40+$K40))*(1+$G40)+$E40+$F40)</f>
        <v>0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17" t="n">
        <f aca="false">IF(N40="",0,N40*IF(Z$5&gt;=$L40,$M40,$H40))</f>
        <v>0</v>
      </c>
      <c r="AA40" s="17" t="n">
        <f aca="false">IF(O40="",0,O40*IF(AA$5&gt;=$L40,$M40,$H40))</f>
        <v>0</v>
      </c>
      <c r="AB40" s="17" t="n">
        <f aca="false">IF(P40="",0,P40*IF(AB$5&gt;=$L40,$M40,$H40))</f>
        <v>0</v>
      </c>
      <c r="AC40" s="17" t="n">
        <f aca="false">IF(Q40="",0,Q40*IF(AC$5&gt;=$L40,$M40,$H40))</f>
        <v>0</v>
      </c>
      <c r="AD40" s="17" t="n">
        <f aca="false">IF(R40="",0,R40*IF(AD$5&gt;=$L40,$M40,$H40))</f>
        <v>0</v>
      </c>
      <c r="AE40" s="17" t="n">
        <f aca="false">IF(S40="",0,S40*IF(AE$5&gt;=$L40,$M40,$H40))</f>
        <v>0</v>
      </c>
      <c r="AF40" s="17" t="n">
        <f aca="false">IF(T40="",0,T40*IF(AF$5&gt;=$L40,$M40,$H40))</f>
        <v>0</v>
      </c>
      <c r="AG40" s="17" t="n">
        <f aca="false">IF(U40="",0,U40*IF(AG$5&gt;=$L40,$M40,$H40))</f>
        <v>0</v>
      </c>
      <c r="AH40" s="17" t="n">
        <f aca="false">IF(V40="",0,V40*IF(AH$5&gt;=$L40,$M40,$H40))</f>
        <v>0</v>
      </c>
      <c r="AI40" s="17" t="n">
        <f aca="false">IF(W40="",0,W40*IF(AI$5&gt;=$L40,$M40,$H40))</f>
        <v>0</v>
      </c>
      <c r="AJ40" s="17" t="n">
        <f aca="false">IF(X40="",0,X40*IF(AJ$5&gt;=$L40,$M40,$H40))</f>
        <v>0</v>
      </c>
      <c r="AK40" s="17" t="n">
        <f aca="false">IF(Y40="",0,Y40*IF(AK$5&gt;=$L40,$M40,$H40))</f>
        <v>0</v>
      </c>
      <c r="AL40" s="18" t="n">
        <f aca="false">SUM(Z40:AK40)</f>
        <v>0</v>
      </c>
    </row>
    <row r="41" customFormat="false" ht="15" hidden="false" customHeight="false" outlineLevel="0" collapsed="false">
      <c r="A41" s="25"/>
      <c r="B41" s="25"/>
      <c r="C41" s="32"/>
      <c r="D41" s="17" t="n">
        <f aca="false">IF($C41="",0,$C41/12)</f>
        <v>0</v>
      </c>
      <c r="E41" s="32" t="n">
        <v>523.5</v>
      </c>
      <c r="F41" s="33" t="n">
        <v>75</v>
      </c>
      <c r="G41" s="27" t="n">
        <v>0.1</v>
      </c>
      <c r="H41" s="17" t="n">
        <f aca="false">IF($C41="",0,$D41*(1+$G41)+$E41+$F41)</f>
        <v>0</v>
      </c>
      <c r="I41" s="32" t="n">
        <v>0</v>
      </c>
      <c r="J41" s="27" t="n">
        <v>0</v>
      </c>
      <c r="K41" s="21" t="n">
        <f aca="false">IFERROR(INDEX($B$56:$B$66,MATCH($A41,$A$56:$A$66,0)),0)</f>
        <v>0</v>
      </c>
      <c r="L41" s="25" t="n">
        <v>9</v>
      </c>
      <c r="M41" s="17" t="n">
        <f aca="false">IF($C41="",0,($D41+$I41+$D41*($J41+$K41))*(1+$G41)+$E41+$F41)</f>
        <v>0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17" t="n">
        <f aca="false">IF(N41="",0,N41*IF(Z$5&gt;=$L41,$M41,$H41))</f>
        <v>0</v>
      </c>
      <c r="AA41" s="17" t="n">
        <f aca="false">IF(O41="",0,O41*IF(AA$5&gt;=$L41,$M41,$H41))</f>
        <v>0</v>
      </c>
      <c r="AB41" s="17" t="n">
        <f aca="false">IF(P41="",0,P41*IF(AB$5&gt;=$L41,$M41,$H41))</f>
        <v>0</v>
      </c>
      <c r="AC41" s="17" t="n">
        <f aca="false">IF(Q41="",0,Q41*IF(AC$5&gt;=$L41,$M41,$H41))</f>
        <v>0</v>
      </c>
      <c r="AD41" s="17" t="n">
        <f aca="false">IF(R41="",0,R41*IF(AD$5&gt;=$L41,$M41,$H41))</f>
        <v>0</v>
      </c>
      <c r="AE41" s="17" t="n">
        <f aca="false">IF(S41="",0,S41*IF(AE$5&gt;=$L41,$M41,$H41))</f>
        <v>0</v>
      </c>
      <c r="AF41" s="17" t="n">
        <f aca="false">IF(T41="",0,T41*IF(AF$5&gt;=$L41,$M41,$H41))</f>
        <v>0</v>
      </c>
      <c r="AG41" s="17" t="n">
        <f aca="false">IF(U41="",0,U41*IF(AG$5&gt;=$L41,$M41,$H41))</f>
        <v>0</v>
      </c>
      <c r="AH41" s="17" t="n">
        <f aca="false">IF(V41="",0,V41*IF(AH$5&gt;=$L41,$M41,$H41))</f>
        <v>0</v>
      </c>
      <c r="AI41" s="17" t="n">
        <f aca="false">IF(W41="",0,W41*IF(AI$5&gt;=$L41,$M41,$H41))</f>
        <v>0</v>
      </c>
      <c r="AJ41" s="17" t="n">
        <f aca="false">IF(X41="",0,X41*IF(AJ$5&gt;=$L41,$M41,$H41))</f>
        <v>0</v>
      </c>
      <c r="AK41" s="17" t="n">
        <f aca="false">IF(Y41="",0,Y41*IF(AK$5&gt;=$L41,$M41,$H41))</f>
        <v>0</v>
      </c>
      <c r="AL41" s="18" t="n">
        <f aca="false">SUM(Z41:AK41)</f>
        <v>0</v>
      </c>
    </row>
    <row r="42" customFormat="false" ht="15" hidden="false" customHeight="false" outlineLevel="0" collapsed="false">
      <c r="A42" s="25"/>
      <c r="B42" s="25"/>
      <c r="C42" s="32"/>
      <c r="D42" s="17" t="n">
        <f aca="false">IF($C42="",0,$C42/12)</f>
        <v>0</v>
      </c>
      <c r="E42" s="32" t="n">
        <v>523.5</v>
      </c>
      <c r="F42" s="33" t="n">
        <v>75</v>
      </c>
      <c r="G42" s="27" t="n">
        <v>0.1</v>
      </c>
      <c r="H42" s="17" t="n">
        <f aca="false">IF($C42="",0,$D42*(1+$G42)+$E42+$F42)</f>
        <v>0</v>
      </c>
      <c r="I42" s="32" t="n">
        <v>0</v>
      </c>
      <c r="J42" s="27" t="n">
        <v>0</v>
      </c>
      <c r="K42" s="21" t="n">
        <f aca="false">IFERROR(INDEX($B$56:$B$66,MATCH($A42,$A$56:$A$66,0)),0)</f>
        <v>0</v>
      </c>
      <c r="L42" s="25" t="n">
        <v>9</v>
      </c>
      <c r="M42" s="17" t="n">
        <f aca="false">IF($C42="",0,($D42+$I42+$D42*($J42+$K42))*(1+$G42)+$E42+$F42)</f>
        <v>0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17" t="n">
        <f aca="false">IF(N42="",0,N42*IF(Z$5&gt;=$L42,$M42,$H42))</f>
        <v>0</v>
      </c>
      <c r="AA42" s="17" t="n">
        <f aca="false">IF(O42="",0,O42*IF(AA$5&gt;=$L42,$M42,$H42))</f>
        <v>0</v>
      </c>
      <c r="AB42" s="17" t="n">
        <f aca="false">IF(P42="",0,P42*IF(AB$5&gt;=$L42,$M42,$H42))</f>
        <v>0</v>
      </c>
      <c r="AC42" s="17" t="n">
        <f aca="false">IF(Q42="",0,Q42*IF(AC$5&gt;=$L42,$M42,$H42))</f>
        <v>0</v>
      </c>
      <c r="AD42" s="17" t="n">
        <f aca="false">IF(R42="",0,R42*IF(AD$5&gt;=$L42,$M42,$H42))</f>
        <v>0</v>
      </c>
      <c r="AE42" s="17" t="n">
        <f aca="false">IF(S42="",0,S42*IF(AE$5&gt;=$L42,$M42,$H42))</f>
        <v>0</v>
      </c>
      <c r="AF42" s="17" t="n">
        <f aca="false">IF(T42="",0,T42*IF(AF$5&gt;=$L42,$M42,$H42))</f>
        <v>0</v>
      </c>
      <c r="AG42" s="17" t="n">
        <f aca="false">IF(U42="",0,U42*IF(AG$5&gt;=$L42,$M42,$H42))</f>
        <v>0</v>
      </c>
      <c r="AH42" s="17" t="n">
        <f aca="false">IF(V42="",0,V42*IF(AH$5&gt;=$L42,$M42,$H42))</f>
        <v>0</v>
      </c>
      <c r="AI42" s="17" t="n">
        <f aca="false">IF(W42="",0,W42*IF(AI$5&gt;=$L42,$M42,$H42))</f>
        <v>0</v>
      </c>
      <c r="AJ42" s="17" t="n">
        <f aca="false">IF(X42="",0,X42*IF(AJ$5&gt;=$L42,$M42,$H42))</f>
        <v>0</v>
      </c>
      <c r="AK42" s="17" t="n">
        <f aca="false">IF(Y42="",0,Y42*IF(AK$5&gt;=$L42,$M42,$H42))</f>
        <v>0</v>
      </c>
      <c r="AL42" s="18" t="n">
        <f aca="false">SUM(Z42:AK42)</f>
        <v>0</v>
      </c>
    </row>
    <row r="43" customFormat="false" ht="15" hidden="false" customHeight="false" outlineLevel="0" collapsed="false">
      <c r="A43" s="25"/>
      <c r="B43" s="25"/>
      <c r="C43" s="32"/>
      <c r="D43" s="17" t="n">
        <f aca="false">IF($C43="",0,$C43/12)</f>
        <v>0</v>
      </c>
      <c r="E43" s="32" t="n">
        <v>523.5</v>
      </c>
      <c r="F43" s="33" t="n">
        <v>75</v>
      </c>
      <c r="G43" s="27" t="n">
        <v>0.1</v>
      </c>
      <c r="H43" s="17" t="n">
        <f aca="false">IF($C43="",0,$D43*(1+$G43)+$E43+$F43)</f>
        <v>0</v>
      </c>
      <c r="I43" s="32" t="n">
        <v>0</v>
      </c>
      <c r="J43" s="27" t="n">
        <v>0</v>
      </c>
      <c r="K43" s="21" t="n">
        <f aca="false">IFERROR(INDEX($B$56:$B$66,MATCH($A43,$A$56:$A$66,0)),0)</f>
        <v>0</v>
      </c>
      <c r="L43" s="25" t="n">
        <v>9</v>
      </c>
      <c r="M43" s="17" t="n">
        <f aca="false">IF($C43="",0,($D43+$I43+$D43*($J43+$K43))*(1+$G43)+$E43+$F43)</f>
        <v>0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17" t="n">
        <f aca="false">IF(N43="",0,N43*IF(Z$5&gt;=$L43,$M43,$H43))</f>
        <v>0</v>
      </c>
      <c r="AA43" s="17" t="n">
        <f aca="false">IF(O43="",0,O43*IF(AA$5&gt;=$L43,$M43,$H43))</f>
        <v>0</v>
      </c>
      <c r="AB43" s="17" t="n">
        <f aca="false">IF(P43="",0,P43*IF(AB$5&gt;=$L43,$M43,$H43))</f>
        <v>0</v>
      </c>
      <c r="AC43" s="17" t="n">
        <f aca="false">IF(Q43="",0,Q43*IF(AC$5&gt;=$L43,$M43,$H43))</f>
        <v>0</v>
      </c>
      <c r="AD43" s="17" t="n">
        <f aca="false">IF(R43="",0,R43*IF(AD$5&gt;=$L43,$M43,$H43))</f>
        <v>0</v>
      </c>
      <c r="AE43" s="17" t="n">
        <f aca="false">IF(S43="",0,S43*IF(AE$5&gt;=$L43,$M43,$H43))</f>
        <v>0</v>
      </c>
      <c r="AF43" s="17" t="n">
        <f aca="false">IF(T43="",0,T43*IF(AF$5&gt;=$L43,$M43,$H43))</f>
        <v>0</v>
      </c>
      <c r="AG43" s="17" t="n">
        <f aca="false">IF(U43="",0,U43*IF(AG$5&gt;=$L43,$M43,$H43))</f>
        <v>0</v>
      </c>
      <c r="AH43" s="17" t="n">
        <f aca="false">IF(V43="",0,V43*IF(AH$5&gt;=$L43,$M43,$H43))</f>
        <v>0</v>
      </c>
      <c r="AI43" s="17" t="n">
        <f aca="false">IF(W43="",0,W43*IF(AI$5&gt;=$L43,$M43,$H43))</f>
        <v>0</v>
      </c>
      <c r="AJ43" s="17" t="n">
        <f aca="false">IF(X43="",0,X43*IF(AJ$5&gt;=$L43,$M43,$H43))</f>
        <v>0</v>
      </c>
      <c r="AK43" s="17" t="n">
        <f aca="false">IF(Y43="",0,Y43*IF(AK$5&gt;=$L43,$M43,$H43))</f>
        <v>0</v>
      </c>
      <c r="AL43" s="18" t="n">
        <f aca="false">SUM(Z43:AK43)</f>
        <v>0</v>
      </c>
    </row>
    <row r="44" customFormat="false" ht="15" hidden="false" customHeight="false" outlineLevel="0" collapsed="false">
      <c r="A44" s="25"/>
      <c r="B44" s="25"/>
      <c r="C44" s="32"/>
      <c r="D44" s="17" t="n">
        <f aca="false">IF($C44="",0,$C44/12)</f>
        <v>0</v>
      </c>
      <c r="E44" s="32" t="n">
        <v>523.5</v>
      </c>
      <c r="F44" s="33" t="n">
        <v>75</v>
      </c>
      <c r="G44" s="27" t="n">
        <v>0.1</v>
      </c>
      <c r="H44" s="17" t="n">
        <f aca="false">IF($C44="",0,$D44*(1+$G44)+$E44+$F44)</f>
        <v>0</v>
      </c>
      <c r="I44" s="32" t="n">
        <v>0</v>
      </c>
      <c r="J44" s="27" t="n">
        <v>0</v>
      </c>
      <c r="K44" s="21" t="n">
        <f aca="false">IFERROR(INDEX($B$56:$B$66,MATCH($A44,$A$56:$A$66,0)),0)</f>
        <v>0</v>
      </c>
      <c r="L44" s="25" t="n">
        <v>9</v>
      </c>
      <c r="M44" s="17" t="n">
        <f aca="false">IF($C44="",0,($D44+$I44+$D44*($J44+$K44))*(1+$G44)+$E44+$F44)</f>
        <v>0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17" t="n">
        <f aca="false">IF(N44="",0,N44*IF(Z$5&gt;=$L44,$M44,$H44))</f>
        <v>0</v>
      </c>
      <c r="AA44" s="17" t="n">
        <f aca="false">IF(O44="",0,O44*IF(AA$5&gt;=$L44,$M44,$H44))</f>
        <v>0</v>
      </c>
      <c r="AB44" s="17" t="n">
        <f aca="false">IF(P44="",0,P44*IF(AB$5&gt;=$L44,$M44,$H44))</f>
        <v>0</v>
      </c>
      <c r="AC44" s="17" t="n">
        <f aca="false">IF(Q44="",0,Q44*IF(AC$5&gt;=$L44,$M44,$H44))</f>
        <v>0</v>
      </c>
      <c r="AD44" s="17" t="n">
        <f aca="false">IF(R44="",0,R44*IF(AD$5&gt;=$L44,$M44,$H44))</f>
        <v>0</v>
      </c>
      <c r="AE44" s="17" t="n">
        <f aca="false">IF(S44="",0,S44*IF(AE$5&gt;=$L44,$M44,$H44))</f>
        <v>0</v>
      </c>
      <c r="AF44" s="17" t="n">
        <f aca="false">IF(T44="",0,T44*IF(AF$5&gt;=$L44,$M44,$H44))</f>
        <v>0</v>
      </c>
      <c r="AG44" s="17" t="n">
        <f aca="false">IF(U44="",0,U44*IF(AG$5&gt;=$L44,$M44,$H44))</f>
        <v>0</v>
      </c>
      <c r="AH44" s="17" t="n">
        <f aca="false">IF(V44="",0,V44*IF(AH$5&gt;=$L44,$M44,$H44))</f>
        <v>0</v>
      </c>
      <c r="AI44" s="17" t="n">
        <f aca="false">IF(W44="",0,W44*IF(AI$5&gt;=$L44,$M44,$H44))</f>
        <v>0</v>
      </c>
      <c r="AJ44" s="17" t="n">
        <f aca="false">IF(X44="",0,X44*IF(AJ$5&gt;=$L44,$M44,$H44))</f>
        <v>0</v>
      </c>
      <c r="AK44" s="17" t="n">
        <f aca="false">IF(Y44="",0,Y44*IF(AK$5&gt;=$L44,$M44,$H44))</f>
        <v>0</v>
      </c>
      <c r="AL44" s="18" t="n">
        <f aca="false">SUM(Z44:AK44)</f>
        <v>0</v>
      </c>
    </row>
    <row r="45" customFormat="false" ht="15" hidden="false" customHeight="false" outlineLevel="0" collapsed="false">
      <c r="A45" s="25"/>
      <c r="B45" s="25"/>
      <c r="C45" s="32"/>
      <c r="D45" s="17" t="n">
        <f aca="false">IF($C45="",0,$C45/12)</f>
        <v>0</v>
      </c>
      <c r="E45" s="32" t="n">
        <v>523.5</v>
      </c>
      <c r="F45" s="33" t="n">
        <v>75</v>
      </c>
      <c r="G45" s="27" t="n">
        <v>0.1</v>
      </c>
      <c r="H45" s="17" t="n">
        <f aca="false">IF($C45="",0,$D45*(1+$G45)+$E45+$F45)</f>
        <v>0</v>
      </c>
      <c r="I45" s="32" t="n">
        <v>0</v>
      </c>
      <c r="J45" s="27" t="n">
        <v>0</v>
      </c>
      <c r="K45" s="21" t="n">
        <f aca="false">IFERROR(INDEX($B$56:$B$66,MATCH($A45,$A$56:$A$66,0)),0)</f>
        <v>0</v>
      </c>
      <c r="L45" s="25" t="n">
        <v>9</v>
      </c>
      <c r="M45" s="17" t="n">
        <f aca="false">IF($C45="",0,($D45+$I45+$D45*($J45+$K45))*(1+$G45)+$E45+$F45)</f>
        <v>0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17" t="n">
        <f aca="false">IF(N45="",0,N45*IF(Z$5&gt;=$L45,$M45,$H45))</f>
        <v>0</v>
      </c>
      <c r="AA45" s="17" t="n">
        <f aca="false">IF(O45="",0,O45*IF(AA$5&gt;=$L45,$M45,$H45))</f>
        <v>0</v>
      </c>
      <c r="AB45" s="17" t="n">
        <f aca="false">IF(P45="",0,P45*IF(AB$5&gt;=$L45,$M45,$H45))</f>
        <v>0</v>
      </c>
      <c r="AC45" s="17" t="n">
        <f aca="false">IF(Q45="",0,Q45*IF(AC$5&gt;=$L45,$M45,$H45))</f>
        <v>0</v>
      </c>
      <c r="AD45" s="17" t="n">
        <f aca="false">IF(R45="",0,R45*IF(AD$5&gt;=$L45,$M45,$H45))</f>
        <v>0</v>
      </c>
      <c r="AE45" s="17" t="n">
        <f aca="false">IF(S45="",0,S45*IF(AE$5&gt;=$L45,$M45,$H45))</f>
        <v>0</v>
      </c>
      <c r="AF45" s="17" t="n">
        <f aca="false">IF(T45="",0,T45*IF(AF$5&gt;=$L45,$M45,$H45))</f>
        <v>0</v>
      </c>
      <c r="AG45" s="17" t="n">
        <f aca="false">IF(U45="",0,U45*IF(AG$5&gt;=$L45,$M45,$H45))</f>
        <v>0</v>
      </c>
      <c r="AH45" s="17" t="n">
        <f aca="false">IF(V45="",0,V45*IF(AH$5&gt;=$L45,$M45,$H45))</f>
        <v>0</v>
      </c>
      <c r="AI45" s="17" t="n">
        <f aca="false">IF(W45="",0,W45*IF(AI$5&gt;=$L45,$M45,$H45))</f>
        <v>0</v>
      </c>
      <c r="AJ45" s="17" t="n">
        <f aca="false">IF(X45="",0,X45*IF(AJ$5&gt;=$L45,$M45,$H45))</f>
        <v>0</v>
      </c>
      <c r="AK45" s="17" t="n">
        <f aca="false">IF(Y45="",0,Y45*IF(AK$5&gt;=$L45,$M45,$H45))</f>
        <v>0</v>
      </c>
      <c r="AL45" s="18" t="n">
        <f aca="false">SUM(Z45:AK45)</f>
        <v>0</v>
      </c>
    </row>
    <row r="46" customFormat="false" ht="15" hidden="false" customHeight="false" outlineLevel="0" collapsed="false">
      <c r="A46" s="25"/>
      <c r="B46" s="25"/>
      <c r="C46" s="32"/>
      <c r="D46" s="17" t="n">
        <f aca="false">IF($C46="",0,$C46/12)</f>
        <v>0</v>
      </c>
      <c r="E46" s="32" t="n">
        <v>523.5</v>
      </c>
      <c r="F46" s="33" t="n">
        <v>75</v>
      </c>
      <c r="G46" s="27" t="n">
        <v>0.1</v>
      </c>
      <c r="H46" s="17" t="n">
        <f aca="false">IF($C46="",0,$D46*(1+$G46)+$E46+$F46)</f>
        <v>0</v>
      </c>
      <c r="I46" s="32" t="n">
        <v>0</v>
      </c>
      <c r="J46" s="27" t="n">
        <v>0</v>
      </c>
      <c r="K46" s="21" t="n">
        <f aca="false">IFERROR(INDEX($B$56:$B$66,MATCH($A46,$A$56:$A$66,0)),0)</f>
        <v>0</v>
      </c>
      <c r="L46" s="25" t="n">
        <v>9</v>
      </c>
      <c r="M46" s="17" t="n">
        <f aca="false">IF($C46="",0,($D46+$I46+$D46*($J46+$K46))*(1+$G46)+$E46+$F46)</f>
        <v>0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17" t="n">
        <f aca="false">IF(N46="",0,N46*IF(Z$5&gt;=$L46,$M46,$H46))</f>
        <v>0</v>
      </c>
      <c r="AA46" s="17" t="n">
        <f aca="false">IF(O46="",0,O46*IF(AA$5&gt;=$L46,$M46,$H46))</f>
        <v>0</v>
      </c>
      <c r="AB46" s="17" t="n">
        <f aca="false">IF(P46="",0,P46*IF(AB$5&gt;=$L46,$M46,$H46))</f>
        <v>0</v>
      </c>
      <c r="AC46" s="17" t="n">
        <f aca="false">IF(Q46="",0,Q46*IF(AC$5&gt;=$L46,$M46,$H46))</f>
        <v>0</v>
      </c>
      <c r="AD46" s="17" t="n">
        <f aca="false">IF(R46="",0,R46*IF(AD$5&gt;=$L46,$M46,$H46))</f>
        <v>0</v>
      </c>
      <c r="AE46" s="17" t="n">
        <f aca="false">IF(S46="",0,S46*IF(AE$5&gt;=$L46,$M46,$H46))</f>
        <v>0</v>
      </c>
      <c r="AF46" s="17" t="n">
        <f aca="false">IF(T46="",0,T46*IF(AF$5&gt;=$L46,$M46,$H46))</f>
        <v>0</v>
      </c>
      <c r="AG46" s="17" t="n">
        <f aca="false">IF(U46="",0,U46*IF(AG$5&gt;=$L46,$M46,$H46))</f>
        <v>0</v>
      </c>
      <c r="AH46" s="17" t="n">
        <f aca="false">IF(V46="",0,V46*IF(AH$5&gt;=$L46,$M46,$H46))</f>
        <v>0</v>
      </c>
      <c r="AI46" s="17" t="n">
        <f aca="false">IF(W46="",0,W46*IF(AI$5&gt;=$L46,$M46,$H46))</f>
        <v>0</v>
      </c>
      <c r="AJ46" s="17" t="n">
        <f aca="false">IF(X46="",0,X46*IF(AJ$5&gt;=$L46,$M46,$H46))</f>
        <v>0</v>
      </c>
      <c r="AK46" s="17" t="n">
        <f aca="false">IF(Y46="",0,Y46*IF(AK$5&gt;=$L46,$M46,$H46))</f>
        <v>0</v>
      </c>
      <c r="AL46" s="18" t="n">
        <f aca="false">SUM(Z46:AK46)</f>
        <v>0</v>
      </c>
    </row>
    <row r="47" customFormat="false" ht="15" hidden="false" customHeight="false" outlineLevel="0" collapsed="false">
      <c r="B47" s="29" t="s">
        <v>226</v>
      </c>
      <c r="N47" s="34" t="n">
        <f aca="false">SUM(N7:N46)</f>
        <v>48</v>
      </c>
      <c r="O47" s="34" t="n">
        <f aca="false">SUM(O7:O46)</f>
        <v>48</v>
      </c>
      <c r="P47" s="34" t="n">
        <f aca="false">SUM(P7:P46)</f>
        <v>48</v>
      </c>
      <c r="Q47" s="34" t="n">
        <f aca="false">SUM(Q7:Q46)</f>
        <v>48</v>
      </c>
      <c r="R47" s="34" t="n">
        <f aca="false">SUM(R7:R46)</f>
        <v>48</v>
      </c>
      <c r="S47" s="34" t="n">
        <f aca="false">SUM(S7:S46)</f>
        <v>48</v>
      </c>
      <c r="T47" s="34" t="n">
        <f aca="false">SUM(T7:T46)</f>
        <v>48</v>
      </c>
      <c r="U47" s="34" t="n">
        <f aca="false">SUM(U7:U46)</f>
        <v>48</v>
      </c>
      <c r="V47" s="34" t="n">
        <f aca="false">SUM(V7:V46)</f>
        <v>48</v>
      </c>
      <c r="W47" s="34" t="n">
        <f aca="false">SUM(W7:W46)</f>
        <v>48</v>
      </c>
      <c r="X47" s="34" t="n">
        <f aca="false">SUM(X7:X46)</f>
        <v>48</v>
      </c>
      <c r="Y47" s="34" t="n">
        <f aca="false">SUM(Y7:Y46)</f>
        <v>48</v>
      </c>
      <c r="Z47" s="30" t="n">
        <f aca="false">SUM(Z7:Z46)</f>
        <v>326366.983333333</v>
      </c>
      <c r="AA47" s="30" t="n">
        <f aca="false">SUM(AA7:AA46)</f>
        <v>326366.983333333</v>
      </c>
      <c r="AB47" s="30" t="n">
        <f aca="false">SUM(AB7:AB46)</f>
        <v>326366.983333333</v>
      </c>
      <c r="AC47" s="30" t="n">
        <f aca="false">SUM(AC7:AC46)</f>
        <v>326366.983333333</v>
      </c>
      <c r="AD47" s="30" t="n">
        <f aca="false">SUM(AD7:AD46)</f>
        <v>326366.983333333</v>
      </c>
      <c r="AE47" s="30" t="n">
        <f aca="false">SUM(AE7:AE46)</f>
        <v>326366.983333333</v>
      </c>
      <c r="AF47" s="30" t="n">
        <f aca="false">SUM(AF7:AF46)</f>
        <v>326366.983333333</v>
      </c>
      <c r="AG47" s="30" t="n">
        <f aca="false">SUM(AG7:AG46)</f>
        <v>326366.983333333</v>
      </c>
      <c r="AH47" s="30" t="n">
        <f aca="false">SUM(AH7:AH46)</f>
        <v>326366.983333333</v>
      </c>
      <c r="AI47" s="30" t="n">
        <f aca="false">SUM(AI7:AI46)</f>
        <v>326366.983333333</v>
      </c>
      <c r="AJ47" s="30" t="n">
        <f aca="false">SUM(AJ7:AJ46)</f>
        <v>326366.983333333</v>
      </c>
      <c r="AK47" s="30" t="n">
        <f aca="false">SUM(AK7:AK46)</f>
        <v>326366.983333333</v>
      </c>
      <c r="AL47" s="30" t="n">
        <f aca="false">SUM(AL7:AL46)</f>
        <v>3916403.8</v>
      </c>
    </row>
    <row r="49" customFormat="false" ht="15" hidden="false" customHeight="false" outlineLevel="0" collapsed="false">
      <c r="A49" s="35" t="s">
        <v>227</v>
      </c>
      <c r="B49" s="35" t="s">
        <v>228</v>
      </c>
      <c r="C49" s="36" t="n">
        <v>65000</v>
      </c>
      <c r="E49" s="36" t="n">
        <v>523.5</v>
      </c>
      <c r="F49" s="37" t="n">
        <v>75</v>
      </c>
      <c r="G49" s="38" t="n">
        <v>0.1</v>
      </c>
      <c r="I49" s="36" t="n">
        <v>0</v>
      </c>
      <c r="J49" s="38" t="n">
        <v>0</v>
      </c>
      <c r="L49" s="35" t="n">
        <v>9</v>
      </c>
      <c r="N49" s="39" t="n">
        <v>0</v>
      </c>
      <c r="O49" s="39" t="n">
        <v>0</v>
      </c>
      <c r="P49" s="39" t="n">
        <v>0</v>
      </c>
      <c r="Q49" s="39" t="n">
        <v>0</v>
      </c>
      <c r="R49" s="39" t="n">
        <v>0</v>
      </c>
      <c r="S49" s="39" t="n">
        <v>0</v>
      </c>
      <c r="T49" s="39" t="n">
        <v>0</v>
      </c>
      <c r="U49" s="39" t="n">
        <v>0</v>
      </c>
      <c r="V49" s="39" t="n">
        <v>0</v>
      </c>
      <c r="W49" s="39" t="n">
        <v>1</v>
      </c>
      <c r="X49" s="39" t="s">
        <v>229</v>
      </c>
      <c r="Y49" s="39" t="n">
        <v>1</v>
      </c>
    </row>
    <row r="51" customFormat="false" ht="15" hidden="false" customHeight="false" outlineLevel="0" collapsed="false">
      <c r="A51" s="8" t="s">
        <v>230</v>
      </c>
      <c r="Z51" s="40" t="n">
        <v>340010.78</v>
      </c>
      <c r="AA51" s="40" t="n">
        <v>306521.04</v>
      </c>
      <c r="AB51" s="40" t="n">
        <v>338404.82</v>
      </c>
      <c r="AC51" s="40" t="n">
        <v>356191.85</v>
      </c>
      <c r="AD51" s="40" t="n">
        <v>302930.9</v>
      </c>
      <c r="AE51" s="40" t="n">
        <v>232740.43</v>
      </c>
      <c r="AF51" s="40" t="n">
        <v>285805.48</v>
      </c>
      <c r="AG51" s="40" t="n">
        <v>267791.52</v>
      </c>
    </row>
    <row r="52" customFormat="false" ht="15" hidden="false" customHeight="false" outlineLevel="0" collapsed="false">
      <c r="A52" s="7" t="s">
        <v>231</v>
      </c>
      <c r="Z52" s="17" t="n">
        <f aca="false">Z47-Z51</f>
        <v>-13643.7966666667</v>
      </c>
      <c r="AA52" s="17" t="n">
        <f aca="false">AA47-AA51</f>
        <v>19845.9433333334</v>
      </c>
      <c r="AB52" s="17" t="n">
        <f aca="false">AB47-AB51</f>
        <v>-12037.8366666667</v>
      </c>
      <c r="AC52" s="17" t="n">
        <f aca="false">AC47-AC51</f>
        <v>-29824.8666666666</v>
      </c>
      <c r="AD52" s="17" t="n">
        <f aca="false">AD47-AD51</f>
        <v>23436.0833333333</v>
      </c>
      <c r="AE52" s="17" t="n">
        <f aca="false">AE47-AE51</f>
        <v>93626.5533333333</v>
      </c>
      <c r="AF52" s="17" t="n">
        <f aca="false">AF47-AF51</f>
        <v>40561.5033333334</v>
      </c>
      <c r="AG52" s="17" t="n">
        <f aca="false">AG47-AG51</f>
        <v>58575.4633333333</v>
      </c>
    </row>
    <row r="54" customFormat="false" ht="15" hidden="false" customHeight="false" outlineLevel="0" collapsed="false">
      <c r="A54" s="15" t="s">
        <v>232</v>
      </c>
    </row>
    <row r="55" customFormat="false" ht="15" hidden="false" customHeight="false" outlineLevel="0" collapsed="false">
      <c r="A55" s="13" t="s">
        <v>159</v>
      </c>
      <c r="B55" s="13" t="s">
        <v>233</v>
      </c>
    </row>
    <row r="56" customFormat="false" ht="15" hidden="false" customHeight="false" outlineLevel="0" collapsed="false">
      <c r="A56" s="16" t="s">
        <v>61</v>
      </c>
      <c r="B56" s="41" t="n">
        <v>0</v>
      </c>
    </row>
    <row r="57" customFormat="false" ht="15" hidden="false" customHeight="false" outlineLevel="0" collapsed="false">
      <c r="A57" s="16" t="s">
        <v>62</v>
      </c>
      <c r="B57" s="41" t="n">
        <v>0</v>
      </c>
    </row>
    <row r="58" customFormat="false" ht="15" hidden="false" customHeight="false" outlineLevel="0" collapsed="false">
      <c r="A58" s="16" t="s">
        <v>63</v>
      </c>
      <c r="B58" s="41" t="n">
        <v>0</v>
      </c>
    </row>
    <row r="59" customFormat="false" ht="15" hidden="false" customHeight="false" outlineLevel="0" collapsed="false">
      <c r="A59" s="16" t="s">
        <v>64</v>
      </c>
      <c r="B59" s="41" t="n">
        <v>0</v>
      </c>
    </row>
    <row r="60" customFormat="false" ht="15" hidden="false" customHeight="false" outlineLevel="0" collapsed="false">
      <c r="A60" s="16" t="s">
        <v>65</v>
      </c>
      <c r="B60" s="41" t="n">
        <v>0</v>
      </c>
    </row>
    <row r="61" customFormat="false" ht="15" hidden="false" customHeight="false" outlineLevel="0" collapsed="false">
      <c r="A61" s="16" t="s">
        <v>66</v>
      </c>
      <c r="B61" s="41" t="n">
        <v>0</v>
      </c>
    </row>
    <row r="62" customFormat="false" ht="15" hidden="false" customHeight="false" outlineLevel="0" collapsed="false">
      <c r="A62" s="16" t="s">
        <v>67</v>
      </c>
      <c r="B62" s="41" t="n">
        <v>0</v>
      </c>
    </row>
    <row r="63" customFormat="false" ht="15" hidden="false" customHeight="false" outlineLevel="0" collapsed="false">
      <c r="A63" s="16" t="s">
        <v>68</v>
      </c>
      <c r="B63" s="41" t="n">
        <v>0</v>
      </c>
    </row>
    <row r="64" customFormat="false" ht="15" hidden="false" customHeight="false" outlineLevel="0" collapsed="false">
      <c r="A64" s="16" t="s">
        <v>69</v>
      </c>
      <c r="B64" s="41" t="n">
        <v>0</v>
      </c>
    </row>
    <row r="65" customFormat="false" ht="15" hidden="false" customHeight="false" outlineLevel="0" collapsed="false">
      <c r="A65" s="16" t="s">
        <v>70</v>
      </c>
      <c r="B65" s="41" t="n">
        <v>0</v>
      </c>
    </row>
    <row r="66" customFormat="false" ht="15" hidden="false" customHeight="false" outlineLevel="0" collapsed="false">
      <c r="A66" s="16" t="s">
        <v>71</v>
      </c>
      <c r="B66" s="41" t="n">
        <v>0</v>
      </c>
    </row>
  </sheetData>
  <dataValidations count="1">
    <dataValidation allowBlank="true" errorStyle="stop" operator="between" showDropDown="false" showErrorMessage="false" showInputMessage="false" sqref="A7:A46" type="list">
      <formula1>"Sales,Marketing,Software Development,Installation Services,Technical Support,Purchasing &amp; Fulfillment,03 - HR &amp; Business Administration Manager,Facillities,Exec,Product,General Overhead,Unassigned"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AB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15" min="5" style="0" width="12"/>
    <col collapsed="false" customWidth="true" hidden="false" outlineLevel="0" max="28" min="16" style="0" width="10"/>
  </cols>
  <sheetData>
    <row r="1" customFormat="false" ht="17.35" hidden="false" customHeight="false" outlineLevel="0" collapsed="false">
      <c r="A1" s="6" t="s">
        <v>234</v>
      </c>
    </row>
    <row r="2" customFormat="false" ht="15" hidden="false" customHeight="false" outlineLevel="0" collapsed="false">
      <c r="A2" s="7" t="s">
        <v>235</v>
      </c>
    </row>
    <row r="4" customFormat="false" ht="15" hidden="false" customHeight="false" outlineLevel="0" collapsed="false">
      <c r="P4" s="12" t="n">
        <v>1</v>
      </c>
      <c r="Q4" s="12" t="n">
        <v>2</v>
      </c>
      <c r="R4" s="12" t="n">
        <v>3</v>
      </c>
      <c r="S4" s="12" t="n">
        <v>4</v>
      </c>
      <c r="T4" s="12" t="n">
        <v>5</v>
      </c>
      <c r="U4" s="12" t="n">
        <v>6</v>
      </c>
      <c r="V4" s="12" t="n">
        <v>7</v>
      </c>
      <c r="W4" s="12" t="n">
        <v>8</v>
      </c>
      <c r="X4" s="12" t="n">
        <v>9</v>
      </c>
      <c r="Y4" s="12" t="n">
        <v>10</v>
      </c>
      <c r="Z4" s="12" t="n">
        <v>11</v>
      </c>
      <c r="AA4" s="12" t="n">
        <v>12</v>
      </c>
    </row>
    <row r="5" customFormat="false" ht="15" hidden="false" customHeight="false" outlineLevel="0" collapsed="false">
      <c r="A5" s="13" t="s">
        <v>236</v>
      </c>
      <c r="B5" s="13" t="s">
        <v>159</v>
      </c>
      <c r="C5" s="13" t="s">
        <v>237</v>
      </c>
      <c r="D5" s="13" t="s">
        <v>238</v>
      </c>
      <c r="E5" s="13" t="s">
        <v>239</v>
      </c>
      <c r="F5" s="13" t="s">
        <v>240</v>
      </c>
      <c r="G5" s="13" t="s">
        <v>241</v>
      </c>
      <c r="H5" s="13" t="s">
        <v>242</v>
      </c>
      <c r="I5" s="13" t="s">
        <v>243</v>
      </c>
      <c r="J5" s="13" t="s">
        <v>244</v>
      </c>
      <c r="K5" s="13" t="s">
        <v>245</v>
      </c>
      <c r="L5" s="13" t="s">
        <v>246</v>
      </c>
      <c r="M5" s="13" t="s">
        <v>247</v>
      </c>
      <c r="N5" s="13" t="s">
        <v>248</v>
      </c>
      <c r="O5" s="13" t="s">
        <v>249</v>
      </c>
      <c r="P5" s="13" t="s">
        <v>31</v>
      </c>
      <c r="Q5" s="13" t="s">
        <v>32</v>
      </c>
      <c r="R5" s="13" t="s">
        <v>33</v>
      </c>
      <c r="S5" s="13" t="s">
        <v>34</v>
      </c>
      <c r="T5" s="13" t="s">
        <v>35</v>
      </c>
      <c r="U5" s="13" t="s">
        <v>36</v>
      </c>
      <c r="V5" s="13" t="s">
        <v>37</v>
      </c>
      <c r="W5" s="13" t="s">
        <v>38</v>
      </c>
      <c r="X5" s="13" t="s">
        <v>39</v>
      </c>
      <c r="Y5" s="13" t="s">
        <v>40</v>
      </c>
      <c r="Z5" s="13" t="s">
        <v>41</v>
      </c>
      <c r="AA5" s="13" t="s">
        <v>42</v>
      </c>
      <c r="AB5" s="13" t="s">
        <v>250</v>
      </c>
    </row>
    <row r="6" customFormat="false" ht="15" hidden="false" customHeight="false" outlineLevel="0" collapsed="false">
      <c r="A6" s="42" t="s">
        <v>251</v>
      </c>
      <c r="B6" s="25" t="s">
        <v>61</v>
      </c>
      <c r="C6" s="43" t="s">
        <v>252</v>
      </c>
      <c r="D6" s="44" t="s">
        <v>253</v>
      </c>
      <c r="E6" s="45" t="n">
        <v>1</v>
      </c>
      <c r="F6" s="40"/>
      <c r="G6" s="46" t="n">
        <f aca="false">IFERROR(IF($F6&gt;0,MAX(0,INDEX('XERO ACTUALS'!$T$5:$T$132,MATCH($A6,'XERO ACTUALS'!$A$5:$A$132,0))-$F6),INDEX('XERO ACTUALS'!$T$5:$T$132,MATCH($A6,'XERO ACTUALS'!$A$5:$A$132,0)))*IF($E6="",1,$E6),"")</f>
        <v>22058.6666666667</v>
      </c>
      <c r="H6" s="40" t="n">
        <v>16000</v>
      </c>
      <c r="I6" s="26" t="s">
        <v>254</v>
      </c>
      <c r="J6" s="32"/>
      <c r="K6" s="27" t="n">
        <v>0</v>
      </c>
      <c r="L6" s="26" t="n">
        <v>1</v>
      </c>
      <c r="M6" s="26" t="n">
        <v>12</v>
      </c>
      <c r="N6" s="47" t="s">
        <v>255</v>
      </c>
      <c r="O6" s="18" t="n">
        <f aca="false">IF($N6="N",0,IF($A6="",0,(IF($J6&lt;&gt;"",$J6,IF($I6="BUDGET",IF($H6="",0,$H6),IF($G6="",0,$G6))))*(1+IF($K6="",0,$K6))))</f>
        <v>22058.6666666667</v>
      </c>
      <c r="P6" s="17" t="n">
        <f aca="false">IF(AND(P$4&gt;=IF($L6="",1,$L6),P$4&lt;=IF($M6="",12,$M6)),$O6,0)</f>
        <v>22058.6666666667</v>
      </c>
      <c r="Q6" s="17" t="n">
        <f aca="false">IF(AND(Q$4&gt;=IF($L6="",1,$L6),Q$4&lt;=IF($M6="",12,$M6)),$O6,0)</f>
        <v>22058.6666666667</v>
      </c>
      <c r="R6" s="17" t="n">
        <f aca="false">IF(AND(R$4&gt;=IF($L6="",1,$L6),R$4&lt;=IF($M6="",12,$M6)),$O6,0)</f>
        <v>22058.6666666667</v>
      </c>
      <c r="S6" s="17" t="n">
        <f aca="false">IF(AND(S$4&gt;=IF($L6="",1,$L6),S$4&lt;=IF($M6="",12,$M6)),$O6,0)</f>
        <v>22058.6666666667</v>
      </c>
      <c r="T6" s="17" t="n">
        <f aca="false">IF(AND(T$4&gt;=IF($L6="",1,$L6),T$4&lt;=IF($M6="",12,$M6)),$O6,0)</f>
        <v>22058.6666666667</v>
      </c>
      <c r="U6" s="17" t="n">
        <f aca="false">IF(AND(U$4&gt;=IF($L6="",1,$L6),U$4&lt;=IF($M6="",12,$M6)),$O6,0)</f>
        <v>22058.6666666667</v>
      </c>
      <c r="V6" s="17" t="n">
        <f aca="false">IF(AND(V$4&gt;=IF($L6="",1,$L6),V$4&lt;=IF($M6="",12,$M6)),$O6,0)</f>
        <v>22058.6666666667</v>
      </c>
      <c r="W6" s="17" t="n">
        <f aca="false">IF(AND(W$4&gt;=IF($L6="",1,$L6),W$4&lt;=IF($M6="",12,$M6)),$O6,0)</f>
        <v>22058.6666666667</v>
      </c>
      <c r="X6" s="17" t="n">
        <f aca="false">IF(AND(X$4&gt;=IF($L6="",1,$L6),X$4&lt;=IF($M6="",12,$M6)),$O6,0)</f>
        <v>22058.6666666667</v>
      </c>
      <c r="Y6" s="17" t="n">
        <f aca="false">IF(AND(Y$4&gt;=IF($L6="",1,$L6),Y$4&lt;=IF($M6="",12,$M6)),$O6,0)</f>
        <v>22058.6666666667</v>
      </c>
      <c r="Z6" s="17" t="n">
        <f aca="false">IF(AND(Z$4&gt;=IF($L6="",1,$L6),Z$4&lt;=IF($M6="",12,$M6)),$O6,0)</f>
        <v>22058.6666666667</v>
      </c>
      <c r="AA6" s="17" t="n">
        <f aca="false">IF(AND(AA$4&gt;=IF($L6="",1,$L6),AA$4&lt;=IF($M6="",12,$M6)),$O6,0)</f>
        <v>22058.6666666667</v>
      </c>
      <c r="AB6" s="18" t="n">
        <f aca="false">SUM(P6:AA6)</f>
        <v>264704</v>
      </c>
    </row>
    <row r="7" customFormat="false" ht="15" hidden="false" customHeight="false" outlineLevel="0" collapsed="false">
      <c r="A7" s="42" t="s">
        <v>256</v>
      </c>
      <c r="B7" s="25" t="s">
        <v>61</v>
      </c>
      <c r="C7" s="43" t="s">
        <v>252</v>
      </c>
      <c r="D7" s="44" t="s">
        <v>253</v>
      </c>
      <c r="E7" s="45" t="n">
        <v>0.3501</v>
      </c>
      <c r="F7" s="40" t="n">
        <v>666.76</v>
      </c>
      <c r="G7" s="46" t="n">
        <f aca="false">IFERROR(IF($F7&gt;0,MAX(0,INDEX('XERO ACTUALS'!$T$5:$T$132,MATCH($A7,'XERO ACTUALS'!$A$5:$A$132,0))-$F7),INDEX('XERO ACTUALS'!$T$5:$T$132,MATCH($A7,'XERO ACTUALS'!$A$5:$A$132,0)))*IF($E7="",1,$E7),"")</f>
        <v>1145.971827</v>
      </c>
      <c r="H7" s="40" t="n">
        <v>1070.19</v>
      </c>
      <c r="I7" s="26" t="s">
        <v>254</v>
      </c>
      <c r="J7" s="32"/>
      <c r="K7" s="27" t="n">
        <v>0</v>
      </c>
      <c r="L7" s="26" t="n">
        <v>1</v>
      </c>
      <c r="M7" s="26" t="n">
        <v>12</v>
      </c>
      <c r="N7" s="47" t="s">
        <v>255</v>
      </c>
      <c r="O7" s="18" t="n">
        <f aca="false">IF($N7="N",0,IF($A7="",0,(IF($J7&lt;&gt;"",$J7,IF($I7="BUDGET",IF($H7="",0,$H7),IF($G7="",0,$G7))))*(1+IF($K7="",0,$K7))))</f>
        <v>1145.971827</v>
      </c>
      <c r="P7" s="17" t="n">
        <f aca="false">IF(AND(P$4&gt;=IF($L7="",1,$L7),P$4&lt;=IF($M7="",12,$M7)),$O7,0)</f>
        <v>1145.971827</v>
      </c>
      <c r="Q7" s="17" t="n">
        <f aca="false">IF(AND(Q$4&gt;=IF($L7="",1,$L7),Q$4&lt;=IF($M7="",12,$M7)),$O7,0)</f>
        <v>1145.971827</v>
      </c>
      <c r="R7" s="17" t="n">
        <f aca="false">IF(AND(R$4&gt;=IF($L7="",1,$L7),R$4&lt;=IF($M7="",12,$M7)),$O7,0)</f>
        <v>1145.971827</v>
      </c>
      <c r="S7" s="17" t="n">
        <f aca="false">IF(AND(S$4&gt;=IF($L7="",1,$L7),S$4&lt;=IF($M7="",12,$M7)),$O7,0)</f>
        <v>1145.971827</v>
      </c>
      <c r="T7" s="17" t="n">
        <f aca="false">IF(AND(T$4&gt;=IF($L7="",1,$L7),T$4&lt;=IF($M7="",12,$M7)),$O7,0)</f>
        <v>1145.971827</v>
      </c>
      <c r="U7" s="17" t="n">
        <f aca="false">IF(AND(U$4&gt;=IF($L7="",1,$L7),U$4&lt;=IF($M7="",12,$M7)),$O7,0)</f>
        <v>1145.971827</v>
      </c>
      <c r="V7" s="17" t="n">
        <f aca="false">IF(AND(V$4&gt;=IF($L7="",1,$L7),V$4&lt;=IF($M7="",12,$M7)),$O7,0)</f>
        <v>1145.971827</v>
      </c>
      <c r="W7" s="17" t="n">
        <f aca="false">IF(AND(W$4&gt;=IF($L7="",1,$L7),W$4&lt;=IF($M7="",12,$M7)),$O7,0)</f>
        <v>1145.971827</v>
      </c>
      <c r="X7" s="17" t="n">
        <f aca="false">IF(AND(X$4&gt;=IF($L7="",1,$L7),X$4&lt;=IF($M7="",12,$M7)),$O7,0)</f>
        <v>1145.971827</v>
      </c>
      <c r="Y7" s="17" t="n">
        <f aca="false">IF(AND(Y$4&gt;=IF($L7="",1,$L7),Y$4&lt;=IF($M7="",12,$M7)),$O7,0)</f>
        <v>1145.971827</v>
      </c>
      <c r="Z7" s="17" t="n">
        <f aca="false">IF(AND(Z$4&gt;=IF($L7="",1,$L7),Z$4&lt;=IF($M7="",12,$M7)),$O7,0)</f>
        <v>1145.971827</v>
      </c>
      <c r="AA7" s="17" t="n">
        <f aca="false">IF(AND(AA$4&gt;=IF($L7="",1,$L7),AA$4&lt;=IF($M7="",12,$M7)),$O7,0)</f>
        <v>1145.971827</v>
      </c>
      <c r="AB7" s="18" t="n">
        <f aca="false">SUM(P7:AA7)</f>
        <v>13751.661924</v>
      </c>
    </row>
    <row r="8" customFormat="false" ht="15" hidden="false" customHeight="false" outlineLevel="0" collapsed="false">
      <c r="A8" s="42" t="s">
        <v>257</v>
      </c>
      <c r="B8" s="25" t="s">
        <v>61</v>
      </c>
      <c r="C8" s="43" t="s">
        <v>252</v>
      </c>
      <c r="D8" s="44" t="s">
        <v>253</v>
      </c>
      <c r="E8" s="45" t="n">
        <v>1</v>
      </c>
      <c r="F8" s="40" t="n">
        <v>2299.77</v>
      </c>
      <c r="G8" s="46" t="n">
        <f aca="false">IFERROR(IF($F8&gt;0,MAX(0,INDEX('XERO ACTUALS'!$T$5:$T$132,MATCH($A8,'XERO ACTUALS'!$A$5:$A$132,0))-$F8),INDEX('XERO ACTUALS'!$T$5:$T$132,MATCH($A8,'XERO ACTUALS'!$A$5:$A$132,0)))*IF($E8="",1,$E8),"")</f>
        <v>1008.24</v>
      </c>
      <c r="H8" s="40" t="n">
        <v>1009.23</v>
      </c>
      <c r="I8" s="26" t="s">
        <v>254</v>
      </c>
      <c r="J8" s="32"/>
      <c r="K8" s="27" t="n">
        <v>0</v>
      </c>
      <c r="L8" s="26" t="n">
        <v>1</v>
      </c>
      <c r="M8" s="26" t="n">
        <v>12</v>
      </c>
      <c r="N8" s="47" t="s">
        <v>255</v>
      </c>
      <c r="O8" s="18" t="n">
        <f aca="false">IF($N8="N",0,IF($A8="",0,(IF($J8&lt;&gt;"",$J8,IF($I8="BUDGET",IF($H8="",0,$H8),IF($G8="",0,$G8))))*(1+IF($K8="",0,$K8))))</f>
        <v>1008.24</v>
      </c>
      <c r="P8" s="17" t="n">
        <f aca="false">IF(AND(P$4&gt;=IF($L8="",1,$L8),P$4&lt;=IF($M8="",12,$M8)),$O8,0)</f>
        <v>1008.24</v>
      </c>
      <c r="Q8" s="17" t="n">
        <f aca="false">IF(AND(Q$4&gt;=IF($L8="",1,$L8),Q$4&lt;=IF($M8="",12,$M8)),$O8,0)</f>
        <v>1008.24</v>
      </c>
      <c r="R8" s="17" t="n">
        <f aca="false">IF(AND(R$4&gt;=IF($L8="",1,$L8),R$4&lt;=IF($M8="",12,$M8)),$O8,0)</f>
        <v>1008.24</v>
      </c>
      <c r="S8" s="17" t="n">
        <f aca="false">IF(AND(S$4&gt;=IF($L8="",1,$L8),S$4&lt;=IF($M8="",12,$M8)),$O8,0)</f>
        <v>1008.24</v>
      </c>
      <c r="T8" s="17" t="n">
        <f aca="false">IF(AND(T$4&gt;=IF($L8="",1,$L8),T$4&lt;=IF($M8="",12,$M8)),$O8,0)</f>
        <v>1008.24</v>
      </c>
      <c r="U8" s="17" t="n">
        <f aca="false">IF(AND(U$4&gt;=IF($L8="",1,$L8),U$4&lt;=IF($M8="",12,$M8)),$O8,0)</f>
        <v>1008.24</v>
      </c>
      <c r="V8" s="17" t="n">
        <f aca="false">IF(AND(V$4&gt;=IF($L8="",1,$L8),V$4&lt;=IF($M8="",12,$M8)),$O8,0)</f>
        <v>1008.24</v>
      </c>
      <c r="W8" s="17" t="n">
        <f aca="false">IF(AND(W$4&gt;=IF($L8="",1,$L8),W$4&lt;=IF($M8="",12,$M8)),$O8,0)</f>
        <v>1008.24</v>
      </c>
      <c r="X8" s="17" t="n">
        <f aca="false">IF(AND(X$4&gt;=IF($L8="",1,$L8),X$4&lt;=IF($M8="",12,$M8)),$O8,0)</f>
        <v>1008.24</v>
      </c>
      <c r="Y8" s="17" t="n">
        <f aca="false">IF(AND(Y$4&gt;=IF($L8="",1,$L8),Y$4&lt;=IF($M8="",12,$M8)),$O8,0)</f>
        <v>1008.24</v>
      </c>
      <c r="Z8" s="17" t="n">
        <f aca="false">IF(AND(Z$4&gt;=IF($L8="",1,$L8),Z$4&lt;=IF($M8="",12,$M8)),$O8,0)</f>
        <v>1008.24</v>
      </c>
      <c r="AA8" s="17" t="n">
        <f aca="false">IF(AND(AA$4&gt;=IF($L8="",1,$L8),AA$4&lt;=IF($M8="",12,$M8)),$O8,0)</f>
        <v>1008.24</v>
      </c>
      <c r="AB8" s="18" t="n">
        <f aca="false">SUM(P8:AA8)</f>
        <v>12098.88</v>
      </c>
    </row>
    <row r="9" customFormat="false" ht="15" hidden="false" customHeight="false" outlineLevel="0" collapsed="false">
      <c r="A9" s="42" t="s">
        <v>258</v>
      </c>
      <c r="B9" s="25" t="s">
        <v>61</v>
      </c>
      <c r="C9" s="43" t="s">
        <v>252</v>
      </c>
      <c r="D9" s="44" t="s">
        <v>253</v>
      </c>
      <c r="E9" s="45" t="n">
        <v>0.5505</v>
      </c>
      <c r="F9" s="40" t="n">
        <v>517.68</v>
      </c>
      <c r="G9" s="46" t="n">
        <f aca="false">IFERROR(IF($F9&gt;0,MAX(0,INDEX('XERO ACTUALS'!$T$5:$T$132,MATCH($A9,'XERO ACTUALS'!$A$5:$A$132,0))-$F9),INDEX('XERO ACTUALS'!$T$5:$T$132,MATCH($A9,'XERO ACTUALS'!$A$5:$A$132,0)))*IF($E9="",1,$E9),"")</f>
        <v>356.766205</v>
      </c>
      <c r="H9" s="40" t="n">
        <v>309.88</v>
      </c>
      <c r="I9" s="26" t="s">
        <v>254</v>
      </c>
      <c r="J9" s="32"/>
      <c r="K9" s="27" t="n">
        <v>0</v>
      </c>
      <c r="L9" s="26" t="n">
        <v>1</v>
      </c>
      <c r="M9" s="26" t="n">
        <v>12</v>
      </c>
      <c r="N9" s="47" t="s">
        <v>255</v>
      </c>
      <c r="O9" s="18" t="n">
        <f aca="false">IF($N9="N",0,IF($A9="",0,(IF($J9&lt;&gt;"",$J9,IF($I9="BUDGET",IF($H9="",0,$H9),IF($G9="",0,$G9))))*(1+IF($K9="",0,$K9))))</f>
        <v>356.766205</v>
      </c>
      <c r="P9" s="17" t="n">
        <f aca="false">IF(AND(P$4&gt;=IF($L9="",1,$L9),P$4&lt;=IF($M9="",12,$M9)),$O9,0)</f>
        <v>356.766205</v>
      </c>
      <c r="Q9" s="17" t="n">
        <f aca="false">IF(AND(Q$4&gt;=IF($L9="",1,$L9),Q$4&lt;=IF($M9="",12,$M9)),$O9,0)</f>
        <v>356.766205</v>
      </c>
      <c r="R9" s="17" t="n">
        <f aca="false">IF(AND(R$4&gt;=IF($L9="",1,$L9),R$4&lt;=IF($M9="",12,$M9)),$O9,0)</f>
        <v>356.766205</v>
      </c>
      <c r="S9" s="17" t="n">
        <f aca="false">IF(AND(S$4&gt;=IF($L9="",1,$L9),S$4&lt;=IF($M9="",12,$M9)),$O9,0)</f>
        <v>356.766205</v>
      </c>
      <c r="T9" s="17" t="n">
        <f aca="false">IF(AND(T$4&gt;=IF($L9="",1,$L9),T$4&lt;=IF($M9="",12,$M9)),$O9,0)</f>
        <v>356.766205</v>
      </c>
      <c r="U9" s="17" t="n">
        <f aca="false">IF(AND(U$4&gt;=IF($L9="",1,$L9),U$4&lt;=IF($M9="",12,$M9)),$O9,0)</f>
        <v>356.766205</v>
      </c>
      <c r="V9" s="17" t="n">
        <f aca="false">IF(AND(V$4&gt;=IF($L9="",1,$L9),V$4&lt;=IF($M9="",12,$M9)),$O9,0)</f>
        <v>356.766205</v>
      </c>
      <c r="W9" s="17" t="n">
        <f aca="false">IF(AND(W$4&gt;=IF($L9="",1,$L9),W$4&lt;=IF($M9="",12,$M9)),$O9,0)</f>
        <v>356.766205</v>
      </c>
      <c r="X9" s="17" t="n">
        <f aca="false">IF(AND(X$4&gt;=IF($L9="",1,$L9),X$4&lt;=IF($M9="",12,$M9)),$O9,0)</f>
        <v>356.766205</v>
      </c>
      <c r="Y9" s="17" t="n">
        <f aca="false">IF(AND(Y$4&gt;=IF($L9="",1,$L9),Y$4&lt;=IF($M9="",12,$M9)),$O9,0)</f>
        <v>356.766205</v>
      </c>
      <c r="Z9" s="17" t="n">
        <f aca="false">IF(AND(Z$4&gt;=IF($L9="",1,$L9),Z$4&lt;=IF($M9="",12,$M9)),$O9,0)</f>
        <v>356.766205</v>
      </c>
      <c r="AA9" s="17" t="n">
        <f aca="false">IF(AND(AA$4&gt;=IF($L9="",1,$L9),AA$4&lt;=IF($M9="",12,$M9)),$O9,0)</f>
        <v>356.766205</v>
      </c>
      <c r="AB9" s="18" t="n">
        <f aca="false">SUM(P9:AA9)</f>
        <v>4281.19446</v>
      </c>
    </row>
    <row r="10" customFormat="false" ht="15" hidden="false" customHeight="false" outlineLevel="0" collapsed="false">
      <c r="A10" s="42" t="s">
        <v>259</v>
      </c>
      <c r="B10" s="25" t="s">
        <v>61</v>
      </c>
      <c r="C10" s="43" t="s">
        <v>260</v>
      </c>
      <c r="D10" s="48" t="s">
        <v>261</v>
      </c>
      <c r="E10" s="45" t="n">
        <v>1</v>
      </c>
      <c r="F10" s="40"/>
      <c r="G10" s="46" t="n">
        <f aca="false">IFERROR(IF($F10&gt;0,MAX(0,INDEX('XERO ACTUALS'!$T$5:$T$132,MATCH($A10,'XERO ACTUALS'!$A$5:$A$132,0))-$F10),INDEX('XERO ACTUALS'!$T$5:$T$132,MATCH($A10,'XERO ACTUALS'!$A$5:$A$132,0)))*IF($E10="",1,$E10),"")</f>
        <v>274.8</v>
      </c>
      <c r="H10" s="40"/>
      <c r="I10" s="26" t="s">
        <v>254</v>
      </c>
      <c r="J10" s="32"/>
      <c r="K10" s="27" t="n">
        <v>0</v>
      </c>
      <c r="L10" s="26" t="n">
        <v>1</v>
      </c>
      <c r="M10" s="26" t="n">
        <v>12</v>
      </c>
      <c r="N10" s="47" t="s">
        <v>255</v>
      </c>
      <c r="O10" s="18" t="n">
        <f aca="false">IF($N10="N",0,IF($A10="",0,(IF($J10&lt;&gt;"",$J10,IF($I10="BUDGET",IF($H10="",0,$H10),IF($G10="",0,$G10))))*(1+IF($K10="",0,$K10))))</f>
        <v>274.8</v>
      </c>
      <c r="P10" s="17" t="n">
        <f aca="false">IF(AND(P$4&gt;=IF($L10="",1,$L10),P$4&lt;=IF($M10="",12,$M10)),$O10,0)</f>
        <v>274.8</v>
      </c>
      <c r="Q10" s="17" t="n">
        <f aca="false">IF(AND(Q$4&gt;=IF($L10="",1,$L10),Q$4&lt;=IF($M10="",12,$M10)),$O10,0)</f>
        <v>274.8</v>
      </c>
      <c r="R10" s="17" t="n">
        <f aca="false">IF(AND(R$4&gt;=IF($L10="",1,$L10),R$4&lt;=IF($M10="",12,$M10)),$O10,0)</f>
        <v>274.8</v>
      </c>
      <c r="S10" s="17" t="n">
        <f aca="false">IF(AND(S$4&gt;=IF($L10="",1,$L10),S$4&lt;=IF($M10="",12,$M10)),$O10,0)</f>
        <v>274.8</v>
      </c>
      <c r="T10" s="17" t="n">
        <f aca="false">IF(AND(T$4&gt;=IF($L10="",1,$L10),T$4&lt;=IF($M10="",12,$M10)),$O10,0)</f>
        <v>274.8</v>
      </c>
      <c r="U10" s="17" t="n">
        <f aca="false">IF(AND(U$4&gt;=IF($L10="",1,$L10),U$4&lt;=IF($M10="",12,$M10)),$O10,0)</f>
        <v>274.8</v>
      </c>
      <c r="V10" s="17" t="n">
        <f aca="false">IF(AND(V$4&gt;=IF($L10="",1,$L10),V$4&lt;=IF($M10="",12,$M10)),$O10,0)</f>
        <v>274.8</v>
      </c>
      <c r="W10" s="17" t="n">
        <f aca="false">IF(AND(W$4&gt;=IF($L10="",1,$L10),W$4&lt;=IF($M10="",12,$M10)),$O10,0)</f>
        <v>274.8</v>
      </c>
      <c r="X10" s="17" t="n">
        <f aca="false">IF(AND(X$4&gt;=IF($L10="",1,$L10),X$4&lt;=IF($M10="",12,$M10)),$O10,0)</f>
        <v>274.8</v>
      </c>
      <c r="Y10" s="17" t="n">
        <f aca="false">IF(AND(Y$4&gt;=IF($L10="",1,$L10),Y$4&lt;=IF($M10="",12,$M10)),$O10,0)</f>
        <v>274.8</v>
      </c>
      <c r="Z10" s="17" t="n">
        <f aca="false">IF(AND(Z$4&gt;=IF($L10="",1,$L10),Z$4&lt;=IF($M10="",12,$M10)),$O10,0)</f>
        <v>274.8</v>
      </c>
      <c r="AA10" s="17" t="n">
        <f aca="false">IF(AND(AA$4&gt;=IF($L10="",1,$L10),AA$4&lt;=IF($M10="",12,$M10)),$O10,0)</f>
        <v>274.8</v>
      </c>
      <c r="AB10" s="18" t="n">
        <f aca="false">SUM(P10:AA10)</f>
        <v>3297.6</v>
      </c>
    </row>
    <row r="11" customFormat="false" ht="15" hidden="false" customHeight="false" outlineLevel="0" collapsed="false">
      <c r="A11" s="42" t="s">
        <v>262</v>
      </c>
      <c r="B11" s="25" t="s">
        <v>61</v>
      </c>
      <c r="C11" s="43" t="s">
        <v>252</v>
      </c>
      <c r="D11" s="44" t="s">
        <v>253</v>
      </c>
      <c r="E11" s="45" t="n">
        <v>0.1234</v>
      </c>
      <c r="F11" s="40"/>
      <c r="G11" s="46" t="n">
        <f aca="false">IFERROR(IF($F11&gt;0,MAX(0,INDEX('XERO ACTUALS'!$T$5:$T$132,MATCH($A11,'XERO ACTUALS'!$A$5:$A$132,0))-$F11),INDEX('XERO ACTUALS'!$T$5:$T$132,MATCH($A11,'XERO ACTUALS'!$A$5:$A$132,0)))*IF($E11="",1,$E11),"")</f>
        <v>36.173476</v>
      </c>
      <c r="H11" s="40" t="n">
        <v>21.39</v>
      </c>
      <c r="I11" s="26" t="s">
        <v>254</v>
      </c>
      <c r="J11" s="32"/>
      <c r="K11" s="27" t="n">
        <v>0</v>
      </c>
      <c r="L11" s="26" t="n">
        <v>1</v>
      </c>
      <c r="M11" s="26" t="n">
        <v>12</v>
      </c>
      <c r="N11" s="47" t="s">
        <v>255</v>
      </c>
      <c r="O11" s="18" t="n">
        <f aca="false">IF($N11="N",0,IF($A11="",0,(IF($J11&lt;&gt;"",$J11,IF($I11="BUDGET",IF($H11="",0,$H11),IF($G11="",0,$G11))))*(1+IF($K11="",0,$K11))))</f>
        <v>36.173476</v>
      </c>
      <c r="P11" s="17" t="n">
        <f aca="false">IF(AND(P$4&gt;=IF($L11="",1,$L11),P$4&lt;=IF($M11="",12,$M11)),$O11,0)</f>
        <v>36.173476</v>
      </c>
      <c r="Q11" s="17" t="n">
        <f aca="false">IF(AND(Q$4&gt;=IF($L11="",1,$L11),Q$4&lt;=IF($M11="",12,$M11)),$O11,0)</f>
        <v>36.173476</v>
      </c>
      <c r="R11" s="17" t="n">
        <f aca="false">IF(AND(R$4&gt;=IF($L11="",1,$L11),R$4&lt;=IF($M11="",12,$M11)),$O11,0)</f>
        <v>36.173476</v>
      </c>
      <c r="S11" s="17" t="n">
        <f aca="false">IF(AND(S$4&gt;=IF($L11="",1,$L11),S$4&lt;=IF($M11="",12,$M11)),$O11,0)</f>
        <v>36.173476</v>
      </c>
      <c r="T11" s="17" t="n">
        <f aca="false">IF(AND(T$4&gt;=IF($L11="",1,$L11),T$4&lt;=IF($M11="",12,$M11)),$O11,0)</f>
        <v>36.173476</v>
      </c>
      <c r="U11" s="17" t="n">
        <f aca="false">IF(AND(U$4&gt;=IF($L11="",1,$L11),U$4&lt;=IF($M11="",12,$M11)),$O11,0)</f>
        <v>36.173476</v>
      </c>
      <c r="V11" s="17" t="n">
        <f aca="false">IF(AND(V$4&gt;=IF($L11="",1,$L11),V$4&lt;=IF($M11="",12,$M11)),$O11,0)</f>
        <v>36.173476</v>
      </c>
      <c r="W11" s="17" t="n">
        <f aca="false">IF(AND(W$4&gt;=IF($L11="",1,$L11),W$4&lt;=IF($M11="",12,$M11)),$O11,0)</f>
        <v>36.173476</v>
      </c>
      <c r="X11" s="17" t="n">
        <f aca="false">IF(AND(X$4&gt;=IF($L11="",1,$L11),X$4&lt;=IF($M11="",12,$M11)),$O11,0)</f>
        <v>36.173476</v>
      </c>
      <c r="Y11" s="17" t="n">
        <f aca="false">IF(AND(Y$4&gt;=IF($L11="",1,$L11),Y$4&lt;=IF($M11="",12,$M11)),$O11,0)</f>
        <v>36.173476</v>
      </c>
      <c r="Z11" s="17" t="n">
        <f aca="false">IF(AND(Z$4&gt;=IF($L11="",1,$L11),Z$4&lt;=IF($M11="",12,$M11)),$O11,0)</f>
        <v>36.173476</v>
      </c>
      <c r="AA11" s="17" t="n">
        <f aca="false">IF(AND(AA$4&gt;=IF($L11="",1,$L11),AA$4&lt;=IF($M11="",12,$M11)),$O11,0)</f>
        <v>36.173476</v>
      </c>
      <c r="AB11" s="18" t="n">
        <f aca="false">SUM(P11:AA11)</f>
        <v>434.081712</v>
      </c>
    </row>
    <row r="12" customFormat="false" ht="15" hidden="false" customHeight="false" outlineLevel="0" collapsed="false">
      <c r="A12" s="16" t="s">
        <v>263</v>
      </c>
      <c r="B12" s="25" t="s">
        <v>61</v>
      </c>
      <c r="C12" s="43" t="s">
        <v>264</v>
      </c>
      <c r="D12" s="44" t="s">
        <v>265</v>
      </c>
      <c r="E12" s="45"/>
      <c r="F12" s="40"/>
      <c r="G12" s="46"/>
      <c r="H12" s="40" t="n">
        <v>9.92</v>
      </c>
      <c r="I12" s="26" t="s">
        <v>266</v>
      </c>
      <c r="J12" s="32"/>
      <c r="K12" s="27" t="n">
        <v>0</v>
      </c>
      <c r="L12" s="26" t="n">
        <v>1</v>
      </c>
      <c r="M12" s="26" t="n">
        <v>12</v>
      </c>
      <c r="N12" s="47" t="s">
        <v>267</v>
      </c>
      <c r="O12" s="18" t="n">
        <f aca="false">IF($N12="N",0,IF($A12="",0,(IF($J12&lt;&gt;"",$J12,IF($I12="BUDGET",IF($H12="",0,$H12),IF($G12="",0,$G12))))*(1+IF($K12="",0,$K12))))</f>
        <v>0</v>
      </c>
      <c r="P12" s="17" t="n">
        <f aca="false">IF(AND(P$4&gt;=IF($L12="",1,$L12),P$4&lt;=IF($M12="",12,$M12)),$O12,0)</f>
        <v>0</v>
      </c>
      <c r="Q12" s="17" t="n">
        <f aca="false">IF(AND(Q$4&gt;=IF($L12="",1,$L12),Q$4&lt;=IF($M12="",12,$M12)),$O12,0)</f>
        <v>0</v>
      </c>
      <c r="R12" s="17" t="n">
        <f aca="false">IF(AND(R$4&gt;=IF($L12="",1,$L12),R$4&lt;=IF($M12="",12,$M12)),$O12,0)</f>
        <v>0</v>
      </c>
      <c r="S12" s="17" t="n">
        <f aca="false">IF(AND(S$4&gt;=IF($L12="",1,$L12),S$4&lt;=IF($M12="",12,$M12)),$O12,0)</f>
        <v>0</v>
      </c>
      <c r="T12" s="17" t="n">
        <f aca="false">IF(AND(T$4&gt;=IF($L12="",1,$L12),T$4&lt;=IF($M12="",12,$M12)),$O12,0)</f>
        <v>0</v>
      </c>
      <c r="U12" s="17" t="n">
        <f aca="false">IF(AND(U$4&gt;=IF($L12="",1,$L12),U$4&lt;=IF($M12="",12,$M12)),$O12,0)</f>
        <v>0</v>
      </c>
      <c r="V12" s="17" t="n">
        <f aca="false">IF(AND(V$4&gt;=IF($L12="",1,$L12),V$4&lt;=IF($M12="",12,$M12)),$O12,0)</f>
        <v>0</v>
      </c>
      <c r="W12" s="17" t="n">
        <f aca="false">IF(AND(W$4&gt;=IF($L12="",1,$L12),W$4&lt;=IF($M12="",12,$M12)),$O12,0)</f>
        <v>0</v>
      </c>
      <c r="X12" s="17" t="n">
        <f aca="false">IF(AND(X$4&gt;=IF($L12="",1,$L12),X$4&lt;=IF($M12="",12,$M12)),$O12,0)</f>
        <v>0</v>
      </c>
      <c r="Y12" s="17" t="n">
        <f aca="false">IF(AND(Y$4&gt;=IF($L12="",1,$L12),Y$4&lt;=IF($M12="",12,$M12)),$O12,0)</f>
        <v>0</v>
      </c>
      <c r="Z12" s="17" t="n">
        <f aca="false">IF(AND(Z$4&gt;=IF($L12="",1,$L12),Z$4&lt;=IF($M12="",12,$M12)),$O12,0)</f>
        <v>0</v>
      </c>
      <c r="AA12" s="17" t="n">
        <f aca="false">IF(AND(AA$4&gt;=IF($L12="",1,$L12),AA$4&lt;=IF($M12="",12,$M12)),$O12,0)</f>
        <v>0</v>
      </c>
      <c r="AB12" s="18" t="n">
        <f aca="false">SUM(P12:AA12)</f>
        <v>0</v>
      </c>
    </row>
    <row r="13" customFormat="false" ht="15" hidden="false" customHeight="false" outlineLevel="0" collapsed="false">
      <c r="A13" s="16" t="s">
        <v>268</v>
      </c>
      <c r="B13" s="25" t="s">
        <v>61</v>
      </c>
      <c r="C13" s="43" t="s">
        <v>264</v>
      </c>
      <c r="D13" s="44" t="s">
        <v>265</v>
      </c>
      <c r="E13" s="45"/>
      <c r="F13" s="40"/>
      <c r="G13" s="46"/>
      <c r="H13" s="40" t="n">
        <v>9.92</v>
      </c>
      <c r="I13" s="26" t="s">
        <v>266</v>
      </c>
      <c r="J13" s="32"/>
      <c r="K13" s="27" t="n">
        <v>0</v>
      </c>
      <c r="L13" s="26" t="n">
        <v>1</v>
      </c>
      <c r="M13" s="26" t="n">
        <v>12</v>
      </c>
      <c r="N13" s="47" t="s">
        <v>267</v>
      </c>
      <c r="O13" s="18" t="n">
        <f aca="false">IF($N13="N",0,IF($A13="",0,(IF($J13&lt;&gt;"",$J13,IF($I13="BUDGET",IF($H13="",0,$H13),IF($G13="",0,$G13))))*(1+IF($K13="",0,$K13))))</f>
        <v>0</v>
      </c>
      <c r="P13" s="17" t="n">
        <f aca="false">IF(AND(P$4&gt;=IF($L13="",1,$L13),P$4&lt;=IF($M13="",12,$M13)),$O13,0)</f>
        <v>0</v>
      </c>
      <c r="Q13" s="17" t="n">
        <f aca="false">IF(AND(Q$4&gt;=IF($L13="",1,$L13),Q$4&lt;=IF($M13="",12,$M13)),$O13,0)</f>
        <v>0</v>
      </c>
      <c r="R13" s="17" t="n">
        <f aca="false">IF(AND(R$4&gt;=IF($L13="",1,$L13),R$4&lt;=IF($M13="",12,$M13)),$O13,0)</f>
        <v>0</v>
      </c>
      <c r="S13" s="17" t="n">
        <f aca="false">IF(AND(S$4&gt;=IF($L13="",1,$L13),S$4&lt;=IF($M13="",12,$M13)),$O13,0)</f>
        <v>0</v>
      </c>
      <c r="T13" s="17" t="n">
        <f aca="false">IF(AND(T$4&gt;=IF($L13="",1,$L13),T$4&lt;=IF($M13="",12,$M13)),$O13,0)</f>
        <v>0</v>
      </c>
      <c r="U13" s="17" t="n">
        <f aca="false">IF(AND(U$4&gt;=IF($L13="",1,$L13),U$4&lt;=IF($M13="",12,$M13)),$O13,0)</f>
        <v>0</v>
      </c>
      <c r="V13" s="17" t="n">
        <f aca="false">IF(AND(V$4&gt;=IF($L13="",1,$L13),V$4&lt;=IF($M13="",12,$M13)),$O13,0)</f>
        <v>0</v>
      </c>
      <c r="W13" s="17" t="n">
        <f aca="false">IF(AND(W$4&gt;=IF($L13="",1,$L13),W$4&lt;=IF($M13="",12,$M13)),$O13,0)</f>
        <v>0</v>
      </c>
      <c r="X13" s="17" t="n">
        <f aca="false">IF(AND(X$4&gt;=IF($L13="",1,$L13),X$4&lt;=IF($M13="",12,$M13)),$O13,0)</f>
        <v>0</v>
      </c>
      <c r="Y13" s="17" t="n">
        <f aca="false">IF(AND(Y$4&gt;=IF($L13="",1,$L13),Y$4&lt;=IF($M13="",12,$M13)),$O13,0)</f>
        <v>0</v>
      </c>
      <c r="Z13" s="17" t="n">
        <f aca="false">IF(AND(Z$4&gt;=IF($L13="",1,$L13),Z$4&lt;=IF($M13="",12,$M13)),$O13,0)</f>
        <v>0</v>
      </c>
      <c r="AA13" s="17" t="n">
        <f aca="false">IF(AND(AA$4&gt;=IF($L13="",1,$L13),AA$4&lt;=IF($M13="",12,$M13)),$O13,0)</f>
        <v>0</v>
      </c>
      <c r="AB13" s="18" t="n">
        <f aca="false">SUM(P13:AA13)</f>
        <v>0</v>
      </c>
    </row>
    <row r="14" customFormat="false" ht="15" hidden="false" customHeight="false" outlineLevel="0" collapsed="false">
      <c r="A14" s="16" t="s">
        <v>269</v>
      </c>
      <c r="B14" s="25" t="s">
        <v>61</v>
      </c>
      <c r="C14" s="43" t="s">
        <v>264</v>
      </c>
      <c r="D14" s="44" t="s">
        <v>265</v>
      </c>
      <c r="E14" s="45"/>
      <c r="F14" s="40"/>
      <c r="G14" s="46"/>
      <c r="H14" s="40" t="n">
        <v>9.08</v>
      </c>
      <c r="I14" s="26" t="s">
        <v>266</v>
      </c>
      <c r="J14" s="32"/>
      <c r="K14" s="27" t="n">
        <v>0</v>
      </c>
      <c r="L14" s="26" t="n">
        <v>1</v>
      </c>
      <c r="M14" s="26" t="n">
        <v>12</v>
      </c>
      <c r="N14" s="47" t="s">
        <v>267</v>
      </c>
      <c r="O14" s="18" t="n">
        <f aca="false">IF($N14="N",0,IF($A14="",0,(IF($J14&lt;&gt;"",$J14,IF($I14="BUDGET",IF($H14="",0,$H14),IF($G14="",0,$G14))))*(1+IF($K14="",0,$K14))))</f>
        <v>0</v>
      </c>
      <c r="P14" s="17" t="n">
        <f aca="false">IF(AND(P$4&gt;=IF($L14="",1,$L14),P$4&lt;=IF($M14="",12,$M14)),$O14,0)</f>
        <v>0</v>
      </c>
      <c r="Q14" s="17" t="n">
        <f aca="false">IF(AND(Q$4&gt;=IF($L14="",1,$L14),Q$4&lt;=IF($M14="",12,$M14)),$O14,0)</f>
        <v>0</v>
      </c>
      <c r="R14" s="17" t="n">
        <f aca="false">IF(AND(R$4&gt;=IF($L14="",1,$L14),R$4&lt;=IF($M14="",12,$M14)),$O14,0)</f>
        <v>0</v>
      </c>
      <c r="S14" s="17" t="n">
        <f aca="false">IF(AND(S$4&gt;=IF($L14="",1,$L14),S$4&lt;=IF($M14="",12,$M14)),$O14,0)</f>
        <v>0</v>
      </c>
      <c r="T14" s="17" t="n">
        <f aca="false">IF(AND(T$4&gt;=IF($L14="",1,$L14),T$4&lt;=IF($M14="",12,$M14)),$O14,0)</f>
        <v>0</v>
      </c>
      <c r="U14" s="17" t="n">
        <f aca="false">IF(AND(U$4&gt;=IF($L14="",1,$L14),U$4&lt;=IF($M14="",12,$M14)),$O14,0)</f>
        <v>0</v>
      </c>
      <c r="V14" s="17" t="n">
        <f aca="false">IF(AND(V$4&gt;=IF($L14="",1,$L14),V$4&lt;=IF($M14="",12,$M14)),$O14,0)</f>
        <v>0</v>
      </c>
      <c r="W14" s="17" t="n">
        <f aca="false">IF(AND(W$4&gt;=IF($L14="",1,$L14),W$4&lt;=IF($M14="",12,$M14)),$O14,0)</f>
        <v>0</v>
      </c>
      <c r="X14" s="17" t="n">
        <f aca="false">IF(AND(X$4&gt;=IF($L14="",1,$L14),X$4&lt;=IF($M14="",12,$M14)),$O14,0)</f>
        <v>0</v>
      </c>
      <c r="Y14" s="17" t="n">
        <f aca="false">IF(AND(Y$4&gt;=IF($L14="",1,$L14),Y$4&lt;=IF($M14="",12,$M14)),$O14,0)</f>
        <v>0</v>
      </c>
      <c r="Z14" s="17" t="n">
        <f aca="false">IF(AND(Z$4&gt;=IF($L14="",1,$L14),Z$4&lt;=IF($M14="",12,$M14)),$O14,0)</f>
        <v>0</v>
      </c>
      <c r="AA14" s="17" t="n">
        <f aca="false">IF(AND(AA$4&gt;=IF($L14="",1,$L14),AA$4&lt;=IF($M14="",12,$M14)),$O14,0)</f>
        <v>0</v>
      </c>
      <c r="AB14" s="18" t="n">
        <f aca="false">SUM(P14:AA14)</f>
        <v>0</v>
      </c>
    </row>
    <row r="15" customFormat="false" ht="15" hidden="false" customHeight="false" outlineLevel="0" collapsed="false">
      <c r="A15" s="16" t="s">
        <v>270</v>
      </c>
      <c r="B15" s="25" t="s">
        <v>61</v>
      </c>
      <c r="C15" s="43" t="s">
        <v>264</v>
      </c>
      <c r="D15" s="44" t="s">
        <v>265</v>
      </c>
      <c r="E15" s="45"/>
      <c r="F15" s="40"/>
      <c r="G15" s="46"/>
      <c r="H15" s="40" t="n">
        <v>8.33</v>
      </c>
      <c r="I15" s="26" t="s">
        <v>266</v>
      </c>
      <c r="J15" s="32"/>
      <c r="K15" s="27" t="n">
        <v>0</v>
      </c>
      <c r="L15" s="26" t="n">
        <v>1</v>
      </c>
      <c r="M15" s="26" t="n">
        <v>12</v>
      </c>
      <c r="N15" s="47" t="s">
        <v>267</v>
      </c>
      <c r="O15" s="18" t="n">
        <f aca="false">IF($N15="N",0,IF($A15="",0,(IF($J15&lt;&gt;"",$J15,IF($I15="BUDGET",IF($H15="",0,$H15),IF($G15="",0,$G15))))*(1+IF($K15="",0,$K15))))</f>
        <v>0</v>
      </c>
      <c r="P15" s="17" t="n">
        <f aca="false">IF(AND(P$4&gt;=IF($L15="",1,$L15),P$4&lt;=IF($M15="",12,$M15)),$O15,0)</f>
        <v>0</v>
      </c>
      <c r="Q15" s="17" t="n">
        <f aca="false">IF(AND(Q$4&gt;=IF($L15="",1,$L15),Q$4&lt;=IF($M15="",12,$M15)),$O15,0)</f>
        <v>0</v>
      </c>
      <c r="R15" s="17" t="n">
        <f aca="false">IF(AND(R$4&gt;=IF($L15="",1,$L15),R$4&lt;=IF($M15="",12,$M15)),$O15,0)</f>
        <v>0</v>
      </c>
      <c r="S15" s="17" t="n">
        <f aca="false">IF(AND(S$4&gt;=IF($L15="",1,$L15),S$4&lt;=IF($M15="",12,$M15)),$O15,0)</f>
        <v>0</v>
      </c>
      <c r="T15" s="17" t="n">
        <f aca="false">IF(AND(T$4&gt;=IF($L15="",1,$L15),T$4&lt;=IF($M15="",12,$M15)),$O15,0)</f>
        <v>0</v>
      </c>
      <c r="U15" s="17" t="n">
        <f aca="false">IF(AND(U$4&gt;=IF($L15="",1,$L15),U$4&lt;=IF($M15="",12,$M15)),$O15,0)</f>
        <v>0</v>
      </c>
      <c r="V15" s="17" t="n">
        <f aca="false">IF(AND(V$4&gt;=IF($L15="",1,$L15),V$4&lt;=IF($M15="",12,$M15)),$O15,0)</f>
        <v>0</v>
      </c>
      <c r="W15" s="17" t="n">
        <f aca="false">IF(AND(W$4&gt;=IF($L15="",1,$L15),W$4&lt;=IF($M15="",12,$M15)),$O15,0)</f>
        <v>0</v>
      </c>
      <c r="X15" s="17" t="n">
        <f aca="false">IF(AND(X$4&gt;=IF($L15="",1,$L15),X$4&lt;=IF($M15="",12,$M15)),$O15,0)</f>
        <v>0</v>
      </c>
      <c r="Y15" s="17" t="n">
        <f aca="false">IF(AND(Y$4&gt;=IF($L15="",1,$L15),Y$4&lt;=IF($M15="",12,$M15)),$O15,0)</f>
        <v>0</v>
      </c>
      <c r="Z15" s="17" t="n">
        <f aca="false">IF(AND(Z$4&gt;=IF($L15="",1,$L15),Z$4&lt;=IF($M15="",12,$M15)),$O15,0)</f>
        <v>0</v>
      </c>
      <c r="AA15" s="17" t="n">
        <f aca="false">IF(AND(AA$4&gt;=IF($L15="",1,$L15),AA$4&lt;=IF($M15="",12,$M15)),$O15,0)</f>
        <v>0</v>
      </c>
      <c r="AB15" s="18" t="n">
        <f aca="false">SUM(P15:AA15)</f>
        <v>0</v>
      </c>
    </row>
    <row r="16" customFormat="false" ht="15" hidden="false" customHeight="false" outlineLevel="0" collapsed="false">
      <c r="A16" s="16" t="s">
        <v>271</v>
      </c>
      <c r="B16" s="25" t="s">
        <v>61</v>
      </c>
      <c r="C16" s="43" t="s">
        <v>264</v>
      </c>
      <c r="D16" s="44" t="s">
        <v>265</v>
      </c>
      <c r="E16" s="45"/>
      <c r="F16" s="40"/>
      <c r="G16" s="46"/>
      <c r="H16" s="40" t="n">
        <v>7.94</v>
      </c>
      <c r="I16" s="26" t="s">
        <v>266</v>
      </c>
      <c r="J16" s="32"/>
      <c r="K16" s="27" t="n">
        <v>0</v>
      </c>
      <c r="L16" s="26" t="n">
        <v>1</v>
      </c>
      <c r="M16" s="26" t="n">
        <v>12</v>
      </c>
      <c r="N16" s="47" t="s">
        <v>267</v>
      </c>
      <c r="O16" s="18" t="n">
        <f aca="false">IF($N16="N",0,IF($A16="",0,(IF($J16&lt;&gt;"",$J16,IF($I16="BUDGET",IF($H16="",0,$H16),IF($G16="",0,$G16))))*(1+IF($K16="",0,$K16))))</f>
        <v>0</v>
      </c>
      <c r="P16" s="17" t="n">
        <f aca="false">IF(AND(P$4&gt;=IF($L16="",1,$L16),P$4&lt;=IF($M16="",12,$M16)),$O16,0)</f>
        <v>0</v>
      </c>
      <c r="Q16" s="17" t="n">
        <f aca="false">IF(AND(Q$4&gt;=IF($L16="",1,$L16),Q$4&lt;=IF($M16="",12,$M16)),$O16,0)</f>
        <v>0</v>
      </c>
      <c r="R16" s="17" t="n">
        <f aca="false">IF(AND(R$4&gt;=IF($L16="",1,$L16),R$4&lt;=IF($M16="",12,$M16)),$O16,0)</f>
        <v>0</v>
      </c>
      <c r="S16" s="17" t="n">
        <f aca="false">IF(AND(S$4&gt;=IF($L16="",1,$L16),S$4&lt;=IF($M16="",12,$M16)),$O16,0)</f>
        <v>0</v>
      </c>
      <c r="T16" s="17" t="n">
        <f aca="false">IF(AND(T$4&gt;=IF($L16="",1,$L16),T$4&lt;=IF($M16="",12,$M16)),$O16,0)</f>
        <v>0</v>
      </c>
      <c r="U16" s="17" t="n">
        <f aca="false">IF(AND(U$4&gt;=IF($L16="",1,$L16),U$4&lt;=IF($M16="",12,$M16)),$O16,0)</f>
        <v>0</v>
      </c>
      <c r="V16" s="17" t="n">
        <f aca="false">IF(AND(V$4&gt;=IF($L16="",1,$L16),V$4&lt;=IF($M16="",12,$M16)),$O16,0)</f>
        <v>0</v>
      </c>
      <c r="W16" s="17" t="n">
        <f aca="false">IF(AND(W$4&gt;=IF($L16="",1,$L16),W$4&lt;=IF($M16="",12,$M16)),$O16,0)</f>
        <v>0</v>
      </c>
      <c r="X16" s="17" t="n">
        <f aca="false">IF(AND(X$4&gt;=IF($L16="",1,$L16),X$4&lt;=IF($M16="",12,$M16)),$O16,0)</f>
        <v>0</v>
      </c>
      <c r="Y16" s="17" t="n">
        <f aca="false">IF(AND(Y$4&gt;=IF($L16="",1,$L16),Y$4&lt;=IF($M16="",12,$M16)),$O16,0)</f>
        <v>0</v>
      </c>
      <c r="Z16" s="17" t="n">
        <f aca="false">IF(AND(Z$4&gt;=IF($L16="",1,$L16),Z$4&lt;=IF($M16="",12,$M16)),$O16,0)</f>
        <v>0</v>
      </c>
      <c r="AA16" s="17" t="n">
        <f aca="false">IF(AND(AA$4&gt;=IF($L16="",1,$L16),AA$4&lt;=IF($M16="",12,$M16)),$O16,0)</f>
        <v>0</v>
      </c>
      <c r="AB16" s="18" t="n">
        <f aca="false">SUM(P16:AA16)</f>
        <v>0</v>
      </c>
    </row>
    <row r="17" customFormat="false" ht="15" hidden="false" customHeight="false" outlineLevel="0" collapsed="false">
      <c r="A17" s="16" t="s">
        <v>272</v>
      </c>
      <c r="B17" s="25" t="s">
        <v>61</v>
      </c>
      <c r="C17" s="43" t="s">
        <v>264</v>
      </c>
      <c r="D17" s="44" t="s">
        <v>265</v>
      </c>
      <c r="E17" s="45"/>
      <c r="F17" s="40"/>
      <c r="G17" s="46"/>
      <c r="H17" s="40" t="n">
        <v>0</v>
      </c>
      <c r="I17" s="26" t="s">
        <v>266</v>
      </c>
      <c r="J17" s="32"/>
      <c r="K17" s="27" t="n">
        <v>0</v>
      </c>
      <c r="L17" s="26" t="n">
        <v>1</v>
      </c>
      <c r="M17" s="26" t="n">
        <v>12</v>
      </c>
      <c r="N17" s="47" t="s">
        <v>267</v>
      </c>
      <c r="O17" s="18" t="n">
        <f aca="false">IF($N17="N",0,IF($A17="",0,(IF($J17&lt;&gt;"",$J17,IF($I17="BUDGET",IF($H17="",0,$H17),IF($G17="",0,$G17))))*(1+IF($K17="",0,$K17))))</f>
        <v>0</v>
      </c>
      <c r="P17" s="17" t="n">
        <f aca="false">IF(AND(P$4&gt;=IF($L17="",1,$L17),P$4&lt;=IF($M17="",12,$M17)),$O17,0)</f>
        <v>0</v>
      </c>
      <c r="Q17" s="17" t="n">
        <f aca="false">IF(AND(Q$4&gt;=IF($L17="",1,$L17),Q$4&lt;=IF($M17="",12,$M17)),$O17,0)</f>
        <v>0</v>
      </c>
      <c r="R17" s="17" t="n">
        <f aca="false">IF(AND(R$4&gt;=IF($L17="",1,$L17),R$4&lt;=IF($M17="",12,$M17)),$O17,0)</f>
        <v>0</v>
      </c>
      <c r="S17" s="17" t="n">
        <f aca="false">IF(AND(S$4&gt;=IF($L17="",1,$L17),S$4&lt;=IF($M17="",12,$M17)),$O17,0)</f>
        <v>0</v>
      </c>
      <c r="T17" s="17" t="n">
        <f aca="false">IF(AND(T$4&gt;=IF($L17="",1,$L17),T$4&lt;=IF($M17="",12,$M17)),$O17,0)</f>
        <v>0</v>
      </c>
      <c r="U17" s="17" t="n">
        <f aca="false">IF(AND(U$4&gt;=IF($L17="",1,$L17),U$4&lt;=IF($M17="",12,$M17)),$O17,0)</f>
        <v>0</v>
      </c>
      <c r="V17" s="17" t="n">
        <f aca="false">IF(AND(V$4&gt;=IF($L17="",1,$L17),V$4&lt;=IF($M17="",12,$M17)),$O17,0)</f>
        <v>0</v>
      </c>
      <c r="W17" s="17" t="n">
        <f aca="false">IF(AND(W$4&gt;=IF($L17="",1,$L17),W$4&lt;=IF($M17="",12,$M17)),$O17,0)</f>
        <v>0</v>
      </c>
      <c r="X17" s="17" t="n">
        <f aca="false">IF(AND(X$4&gt;=IF($L17="",1,$L17),X$4&lt;=IF($M17="",12,$M17)),$O17,0)</f>
        <v>0</v>
      </c>
      <c r="Y17" s="17" t="n">
        <f aca="false">IF(AND(Y$4&gt;=IF($L17="",1,$L17),Y$4&lt;=IF($M17="",12,$M17)),$O17,0)</f>
        <v>0</v>
      </c>
      <c r="Z17" s="17" t="n">
        <f aca="false">IF(AND(Z$4&gt;=IF($L17="",1,$L17),Z$4&lt;=IF($M17="",12,$M17)),$O17,0)</f>
        <v>0</v>
      </c>
      <c r="AA17" s="17" t="n">
        <f aca="false">IF(AND(AA$4&gt;=IF($L17="",1,$L17),AA$4&lt;=IF($M17="",12,$M17)),$O17,0)</f>
        <v>0</v>
      </c>
      <c r="AB17" s="18" t="n">
        <f aca="false">SUM(P17:AA17)</f>
        <v>0</v>
      </c>
    </row>
    <row r="18" customFormat="false" ht="15" hidden="false" customHeight="false" outlineLevel="0" collapsed="false">
      <c r="A18" s="42" t="s">
        <v>273</v>
      </c>
      <c r="B18" s="25" t="s">
        <v>62</v>
      </c>
      <c r="C18" s="43" t="s">
        <v>252</v>
      </c>
      <c r="D18" s="44" t="s">
        <v>253</v>
      </c>
      <c r="E18" s="45" t="n">
        <v>1</v>
      </c>
      <c r="F18" s="40"/>
      <c r="G18" s="46" t="n">
        <f aca="false">IFERROR(IF($F18&gt;0,MAX(0,INDEX('XERO ACTUALS'!$T$5:$T$132,MATCH($A18,'XERO ACTUALS'!$A$5:$A$132,0))-$F18),INDEX('XERO ACTUALS'!$T$5:$T$132,MATCH($A18,'XERO ACTUALS'!$A$5:$A$132,0)))*IF($E18="",1,$E18),"")</f>
        <v>74997.0533333333</v>
      </c>
      <c r="H18" s="40" t="n">
        <v>95000</v>
      </c>
      <c r="I18" s="26" t="s">
        <v>254</v>
      </c>
      <c r="J18" s="32"/>
      <c r="K18" s="27" t="n">
        <v>0</v>
      </c>
      <c r="L18" s="26" t="n">
        <v>1</v>
      </c>
      <c r="M18" s="26" t="n">
        <v>12</v>
      </c>
      <c r="N18" s="47" t="s">
        <v>255</v>
      </c>
      <c r="O18" s="18" t="n">
        <f aca="false">IF($N18="N",0,IF($A18="",0,(IF($J18&lt;&gt;"",$J18,IF($I18="BUDGET",IF($H18="",0,$H18),IF($G18="",0,$G18))))*(1+IF($K18="",0,$K18))))</f>
        <v>74997.0533333333</v>
      </c>
      <c r="P18" s="17" t="n">
        <f aca="false">IF(AND(P$4&gt;=IF($L18="",1,$L18),P$4&lt;=IF($M18="",12,$M18)),$O18,0)</f>
        <v>74997.0533333333</v>
      </c>
      <c r="Q18" s="17" t="n">
        <f aca="false">IF(AND(Q$4&gt;=IF($L18="",1,$L18),Q$4&lt;=IF($M18="",12,$M18)),$O18,0)</f>
        <v>74997.0533333333</v>
      </c>
      <c r="R18" s="17" t="n">
        <f aca="false">IF(AND(R$4&gt;=IF($L18="",1,$L18),R$4&lt;=IF($M18="",12,$M18)),$O18,0)</f>
        <v>74997.0533333333</v>
      </c>
      <c r="S18" s="17" t="n">
        <f aca="false">IF(AND(S$4&gt;=IF($L18="",1,$L18),S$4&lt;=IF($M18="",12,$M18)),$O18,0)</f>
        <v>74997.0533333333</v>
      </c>
      <c r="T18" s="17" t="n">
        <f aca="false">IF(AND(T$4&gt;=IF($L18="",1,$L18),T$4&lt;=IF($M18="",12,$M18)),$O18,0)</f>
        <v>74997.0533333333</v>
      </c>
      <c r="U18" s="17" t="n">
        <f aca="false">IF(AND(U$4&gt;=IF($L18="",1,$L18),U$4&lt;=IF($M18="",12,$M18)),$O18,0)</f>
        <v>74997.0533333333</v>
      </c>
      <c r="V18" s="17" t="n">
        <f aca="false">IF(AND(V$4&gt;=IF($L18="",1,$L18),V$4&lt;=IF($M18="",12,$M18)),$O18,0)</f>
        <v>74997.0533333333</v>
      </c>
      <c r="W18" s="17" t="n">
        <f aca="false">IF(AND(W$4&gt;=IF($L18="",1,$L18),W$4&lt;=IF($M18="",12,$M18)),$O18,0)</f>
        <v>74997.0533333333</v>
      </c>
      <c r="X18" s="17" t="n">
        <f aca="false">IF(AND(X$4&gt;=IF($L18="",1,$L18),X$4&lt;=IF($M18="",12,$M18)),$O18,0)</f>
        <v>74997.0533333333</v>
      </c>
      <c r="Y18" s="17" t="n">
        <f aca="false">IF(AND(Y$4&gt;=IF($L18="",1,$L18),Y$4&lt;=IF($M18="",12,$M18)),$O18,0)</f>
        <v>74997.0533333333</v>
      </c>
      <c r="Z18" s="17" t="n">
        <f aca="false">IF(AND(Z$4&gt;=IF($L18="",1,$L18),Z$4&lt;=IF($M18="",12,$M18)),$O18,0)</f>
        <v>74997.0533333333</v>
      </c>
      <c r="AA18" s="17" t="n">
        <f aca="false">IF(AND(AA$4&gt;=IF($L18="",1,$L18),AA$4&lt;=IF($M18="",12,$M18)),$O18,0)</f>
        <v>74997.0533333333</v>
      </c>
      <c r="AB18" s="18" t="n">
        <f aca="false">SUM(P18:AA18)</f>
        <v>899964.64</v>
      </c>
    </row>
    <row r="19" customFormat="false" ht="15" hidden="false" customHeight="false" outlineLevel="0" collapsed="false">
      <c r="A19" s="42" t="s">
        <v>274</v>
      </c>
      <c r="B19" s="25" t="s">
        <v>62</v>
      </c>
      <c r="C19" s="43" t="s">
        <v>260</v>
      </c>
      <c r="D19" s="44" t="s">
        <v>253</v>
      </c>
      <c r="E19" s="45" t="n">
        <v>1</v>
      </c>
      <c r="F19" s="40"/>
      <c r="G19" s="46" t="n">
        <f aca="false">IFERROR(IF($F19&gt;0,MAX(0,INDEX('XERO ACTUALS'!$T$5:$T$132,MATCH($A19,'XERO ACTUALS'!$A$5:$A$132,0))-$F19),INDEX('XERO ACTUALS'!$T$5:$T$132,MATCH($A19,'XERO ACTUALS'!$A$5:$A$132,0)))*IF($E19="",1,$E19),"")</f>
        <v>15894.3833333333</v>
      </c>
      <c r="H19" s="40"/>
      <c r="I19" s="26" t="s">
        <v>254</v>
      </c>
      <c r="J19" s="32"/>
      <c r="K19" s="27" t="n">
        <v>0</v>
      </c>
      <c r="L19" s="26" t="n">
        <v>1</v>
      </c>
      <c r="M19" s="26" t="n">
        <v>12</v>
      </c>
      <c r="N19" s="47" t="s">
        <v>255</v>
      </c>
      <c r="O19" s="18" t="n">
        <f aca="false">IF($N19="N",0,IF($A19="",0,(IF($J19&lt;&gt;"",$J19,IF($I19="BUDGET",IF($H19="",0,$H19),IF($G19="",0,$G19))))*(1+IF($K19="",0,$K19))))</f>
        <v>15894.3833333333</v>
      </c>
      <c r="P19" s="17" t="n">
        <f aca="false">IF(AND(P$4&gt;=IF($L19="",1,$L19),P$4&lt;=IF($M19="",12,$M19)),$O19,0)</f>
        <v>15894.3833333333</v>
      </c>
      <c r="Q19" s="17" t="n">
        <f aca="false">IF(AND(Q$4&gt;=IF($L19="",1,$L19),Q$4&lt;=IF($M19="",12,$M19)),$O19,0)</f>
        <v>15894.3833333333</v>
      </c>
      <c r="R19" s="17" t="n">
        <f aca="false">IF(AND(R$4&gt;=IF($L19="",1,$L19),R$4&lt;=IF($M19="",12,$M19)),$O19,0)</f>
        <v>15894.3833333333</v>
      </c>
      <c r="S19" s="17" t="n">
        <f aca="false">IF(AND(S$4&gt;=IF($L19="",1,$L19),S$4&lt;=IF($M19="",12,$M19)),$O19,0)</f>
        <v>15894.3833333333</v>
      </c>
      <c r="T19" s="17" t="n">
        <f aca="false">IF(AND(T$4&gt;=IF($L19="",1,$L19),T$4&lt;=IF($M19="",12,$M19)),$O19,0)</f>
        <v>15894.3833333333</v>
      </c>
      <c r="U19" s="17" t="n">
        <f aca="false">IF(AND(U$4&gt;=IF($L19="",1,$L19),U$4&lt;=IF($M19="",12,$M19)),$O19,0)</f>
        <v>15894.3833333333</v>
      </c>
      <c r="V19" s="17" t="n">
        <f aca="false">IF(AND(V$4&gt;=IF($L19="",1,$L19),V$4&lt;=IF($M19="",12,$M19)),$O19,0)</f>
        <v>15894.3833333333</v>
      </c>
      <c r="W19" s="17" t="n">
        <f aca="false">IF(AND(W$4&gt;=IF($L19="",1,$L19),W$4&lt;=IF($M19="",12,$M19)),$O19,0)</f>
        <v>15894.3833333333</v>
      </c>
      <c r="X19" s="17" t="n">
        <f aca="false">IF(AND(X$4&gt;=IF($L19="",1,$L19),X$4&lt;=IF($M19="",12,$M19)),$O19,0)</f>
        <v>15894.3833333333</v>
      </c>
      <c r="Y19" s="17" t="n">
        <f aca="false">IF(AND(Y$4&gt;=IF($L19="",1,$L19),Y$4&lt;=IF($M19="",12,$M19)),$O19,0)</f>
        <v>15894.3833333333</v>
      </c>
      <c r="Z19" s="17" t="n">
        <f aca="false">IF(AND(Z$4&gt;=IF($L19="",1,$L19),Z$4&lt;=IF($M19="",12,$M19)),$O19,0)</f>
        <v>15894.3833333333</v>
      </c>
      <c r="AA19" s="17" t="n">
        <f aca="false">IF(AND(AA$4&gt;=IF($L19="",1,$L19),AA$4&lt;=IF($M19="",12,$M19)),$O19,0)</f>
        <v>15894.3833333333</v>
      </c>
      <c r="AB19" s="18" t="n">
        <f aca="false">SUM(P19:AA19)</f>
        <v>190732.6</v>
      </c>
    </row>
    <row r="20" customFormat="false" ht="15" hidden="false" customHeight="false" outlineLevel="0" collapsed="false">
      <c r="A20" s="42" t="s">
        <v>275</v>
      </c>
      <c r="B20" s="25" t="s">
        <v>62</v>
      </c>
      <c r="C20" s="43" t="s">
        <v>252</v>
      </c>
      <c r="D20" s="44" t="s">
        <v>253</v>
      </c>
      <c r="E20" s="45" t="n">
        <v>1</v>
      </c>
      <c r="F20" s="40"/>
      <c r="G20" s="46" t="n">
        <f aca="false">IFERROR(IF($F20&gt;0,MAX(0,INDEX('XERO ACTUALS'!$T$5:$T$132,MATCH($A20,'XERO ACTUALS'!$A$5:$A$132,0))-$F20),INDEX('XERO ACTUALS'!$T$5:$T$132,MATCH($A20,'XERO ACTUALS'!$A$5:$A$132,0)))*IF($E20="",1,$E20),"")</f>
        <v>7000</v>
      </c>
      <c r="H20" s="40" t="n">
        <v>1000</v>
      </c>
      <c r="I20" s="26" t="s">
        <v>254</v>
      </c>
      <c r="J20" s="32"/>
      <c r="K20" s="27" t="n">
        <v>0</v>
      </c>
      <c r="L20" s="26" t="n">
        <v>1</v>
      </c>
      <c r="M20" s="26" t="n">
        <v>12</v>
      </c>
      <c r="N20" s="47" t="s">
        <v>255</v>
      </c>
      <c r="O20" s="18" t="n">
        <f aca="false">IF($N20="N",0,IF($A20="",0,(IF($J20&lt;&gt;"",$J20,IF($I20="BUDGET",IF($H20="",0,$H20),IF($G20="",0,$G20))))*(1+IF($K20="",0,$K20))))</f>
        <v>7000</v>
      </c>
      <c r="P20" s="17" t="n">
        <f aca="false">IF(AND(P$4&gt;=IF($L20="",1,$L20),P$4&lt;=IF($M20="",12,$M20)),$O20,0)</f>
        <v>7000</v>
      </c>
      <c r="Q20" s="17" t="n">
        <f aca="false">IF(AND(Q$4&gt;=IF($L20="",1,$L20),Q$4&lt;=IF($M20="",12,$M20)),$O20,0)</f>
        <v>7000</v>
      </c>
      <c r="R20" s="17" t="n">
        <f aca="false">IF(AND(R$4&gt;=IF($L20="",1,$L20),R$4&lt;=IF($M20="",12,$M20)),$O20,0)</f>
        <v>7000</v>
      </c>
      <c r="S20" s="17" t="n">
        <f aca="false">IF(AND(S$4&gt;=IF($L20="",1,$L20),S$4&lt;=IF($M20="",12,$M20)),$O20,0)</f>
        <v>7000</v>
      </c>
      <c r="T20" s="17" t="n">
        <f aca="false">IF(AND(T$4&gt;=IF($L20="",1,$L20),T$4&lt;=IF($M20="",12,$M20)),$O20,0)</f>
        <v>7000</v>
      </c>
      <c r="U20" s="17" t="n">
        <f aca="false">IF(AND(U$4&gt;=IF($L20="",1,$L20),U$4&lt;=IF($M20="",12,$M20)),$O20,0)</f>
        <v>7000</v>
      </c>
      <c r="V20" s="17" t="n">
        <f aca="false">IF(AND(V$4&gt;=IF($L20="",1,$L20),V$4&lt;=IF($M20="",12,$M20)),$O20,0)</f>
        <v>7000</v>
      </c>
      <c r="W20" s="17" t="n">
        <f aca="false">IF(AND(W$4&gt;=IF($L20="",1,$L20),W$4&lt;=IF($M20="",12,$M20)),$O20,0)</f>
        <v>7000</v>
      </c>
      <c r="X20" s="17" t="n">
        <f aca="false">IF(AND(X$4&gt;=IF($L20="",1,$L20),X$4&lt;=IF($M20="",12,$M20)),$O20,0)</f>
        <v>7000</v>
      </c>
      <c r="Y20" s="17" t="n">
        <f aca="false">IF(AND(Y$4&gt;=IF($L20="",1,$L20),Y$4&lt;=IF($M20="",12,$M20)),$O20,0)</f>
        <v>7000</v>
      </c>
      <c r="Z20" s="17" t="n">
        <f aca="false">IF(AND(Z$4&gt;=IF($L20="",1,$L20),Z$4&lt;=IF($M20="",12,$M20)),$O20,0)</f>
        <v>7000</v>
      </c>
      <c r="AA20" s="17" t="n">
        <f aca="false">IF(AND(AA$4&gt;=IF($L20="",1,$L20),AA$4&lt;=IF($M20="",12,$M20)),$O20,0)</f>
        <v>7000</v>
      </c>
      <c r="AB20" s="18" t="n">
        <f aca="false">SUM(P20:AA20)</f>
        <v>84000</v>
      </c>
    </row>
    <row r="21" customFormat="false" ht="15" hidden="false" customHeight="false" outlineLevel="0" collapsed="false">
      <c r="A21" s="42" t="s">
        <v>256</v>
      </c>
      <c r="B21" s="25" t="s">
        <v>62</v>
      </c>
      <c r="C21" s="43" t="s">
        <v>252</v>
      </c>
      <c r="D21" s="44" t="s">
        <v>253</v>
      </c>
      <c r="E21" s="45" t="n">
        <v>0.6499</v>
      </c>
      <c r="F21" s="40" t="n">
        <v>666.76</v>
      </c>
      <c r="G21" s="46" t="n">
        <f aca="false">IFERROR(IF($F21&gt;0,MAX(0,INDEX('XERO ACTUALS'!$T$5:$T$132,MATCH($A21,'XERO ACTUALS'!$A$5:$A$132,0))-$F21),INDEX('XERO ACTUALS'!$T$5:$T$132,MATCH($A21,'XERO ACTUALS'!$A$5:$A$132,0)))*IF($E21="",1,$E21),"")</f>
        <v>2127.298173</v>
      </c>
      <c r="H21" s="40" t="n">
        <v>1986.98</v>
      </c>
      <c r="I21" s="26" t="s">
        <v>254</v>
      </c>
      <c r="J21" s="32"/>
      <c r="K21" s="27" t="n">
        <v>0</v>
      </c>
      <c r="L21" s="26" t="n">
        <v>1</v>
      </c>
      <c r="M21" s="26" t="n">
        <v>12</v>
      </c>
      <c r="N21" s="47" t="s">
        <v>255</v>
      </c>
      <c r="O21" s="18" t="n">
        <f aca="false">IF($N21="N",0,IF($A21="",0,(IF($J21&lt;&gt;"",$J21,IF($I21="BUDGET",IF($H21="",0,$H21),IF($G21="",0,$G21))))*(1+IF($K21="",0,$K21))))</f>
        <v>2127.298173</v>
      </c>
      <c r="P21" s="17" t="n">
        <f aca="false">IF(AND(P$4&gt;=IF($L21="",1,$L21),P$4&lt;=IF($M21="",12,$M21)),$O21,0)</f>
        <v>2127.298173</v>
      </c>
      <c r="Q21" s="17" t="n">
        <f aca="false">IF(AND(Q$4&gt;=IF($L21="",1,$L21),Q$4&lt;=IF($M21="",12,$M21)),$O21,0)</f>
        <v>2127.298173</v>
      </c>
      <c r="R21" s="17" t="n">
        <f aca="false">IF(AND(R$4&gt;=IF($L21="",1,$L21),R$4&lt;=IF($M21="",12,$M21)),$O21,0)</f>
        <v>2127.298173</v>
      </c>
      <c r="S21" s="17" t="n">
        <f aca="false">IF(AND(S$4&gt;=IF($L21="",1,$L21),S$4&lt;=IF($M21="",12,$M21)),$O21,0)</f>
        <v>2127.298173</v>
      </c>
      <c r="T21" s="17" t="n">
        <f aca="false">IF(AND(T$4&gt;=IF($L21="",1,$L21),T$4&lt;=IF($M21="",12,$M21)),$O21,0)</f>
        <v>2127.298173</v>
      </c>
      <c r="U21" s="17" t="n">
        <f aca="false">IF(AND(U$4&gt;=IF($L21="",1,$L21),U$4&lt;=IF($M21="",12,$M21)),$O21,0)</f>
        <v>2127.298173</v>
      </c>
      <c r="V21" s="17" t="n">
        <f aca="false">IF(AND(V$4&gt;=IF($L21="",1,$L21),V$4&lt;=IF($M21="",12,$M21)),$O21,0)</f>
        <v>2127.298173</v>
      </c>
      <c r="W21" s="17" t="n">
        <f aca="false">IF(AND(W$4&gt;=IF($L21="",1,$L21),W$4&lt;=IF($M21="",12,$M21)),$O21,0)</f>
        <v>2127.298173</v>
      </c>
      <c r="X21" s="17" t="n">
        <f aca="false">IF(AND(X$4&gt;=IF($L21="",1,$L21),X$4&lt;=IF($M21="",12,$M21)),$O21,0)</f>
        <v>2127.298173</v>
      </c>
      <c r="Y21" s="17" t="n">
        <f aca="false">IF(AND(Y$4&gt;=IF($L21="",1,$L21),Y$4&lt;=IF($M21="",12,$M21)),$O21,0)</f>
        <v>2127.298173</v>
      </c>
      <c r="Z21" s="17" t="n">
        <f aca="false">IF(AND(Z$4&gt;=IF($L21="",1,$L21),Z$4&lt;=IF($M21="",12,$M21)),$O21,0)</f>
        <v>2127.298173</v>
      </c>
      <c r="AA21" s="17" t="n">
        <f aca="false">IF(AND(AA$4&gt;=IF($L21="",1,$L21),AA$4&lt;=IF($M21="",12,$M21)),$O21,0)</f>
        <v>2127.298173</v>
      </c>
      <c r="AB21" s="18" t="n">
        <f aca="false">SUM(P21:AA21)</f>
        <v>25527.578076</v>
      </c>
    </row>
    <row r="22" customFormat="false" ht="15" hidden="false" customHeight="false" outlineLevel="0" collapsed="false">
      <c r="A22" s="42" t="s">
        <v>276</v>
      </c>
      <c r="B22" s="25" t="s">
        <v>62</v>
      </c>
      <c r="C22" s="43" t="s">
        <v>260</v>
      </c>
      <c r="D22" s="44" t="s">
        <v>253</v>
      </c>
      <c r="E22" s="45" t="n">
        <v>1</v>
      </c>
      <c r="F22" s="40"/>
      <c r="G22" s="46" t="n">
        <f aca="false">IFERROR(IF($F22&gt;0,MAX(0,INDEX('XERO ACTUALS'!$T$5:$T$132,MATCH($A22,'XERO ACTUALS'!$A$5:$A$132,0))-$F22),INDEX('XERO ACTUALS'!$T$5:$T$132,MATCH($A22,'XERO ACTUALS'!$A$5:$A$132,0)))*IF($E22="",1,$E22),"")</f>
        <v>746.05</v>
      </c>
      <c r="H22" s="40"/>
      <c r="I22" s="26" t="s">
        <v>254</v>
      </c>
      <c r="J22" s="32"/>
      <c r="K22" s="27" t="n">
        <v>0</v>
      </c>
      <c r="L22" s="26" t="n">
        <v>1</v>
      </c>
      <c r="M22" s="26" t="n">
        <v>12</v>
      </c>
      <c r="N22" s="47" t="s">
        <v>255</v>
      </c>
      <c r="O22" s="18" t="n">
        <f aca="false">IF($N22="N",0,IF($A22="",0,(IF($J22&lt;&gt;"",$J22,IF($I22="BUDGET",IF($H22="",0,$H22),IF($G22="",0,$G22))))*(1+IF($K22="",0,$K22))))</f>
        <v>746.05</v>
      </c>
      <c r="P22" s="17" t="n">
        <f aca="false">IF(AND(P$4&gt;=IF($L22="",1,$L22),P$4&lt;=IF($M22="",12,$M22)),$O22,0)</f>
        <v>746.05</v>
      </c>
      <c r="Q22" s="17" t="n">
        <f aca="false">IF(AND(Q$4&gt;=IF($L22="",1,$L22),Q$4&lt;=IF($M22="",12,$M22)),$O22,0)</f>
        <v>746.05</v>
      </c>
      <c r="R22" s="17" t="n">
        <f aca="false">IF(AND(R$4&gt;=IF($L22="",1,$L22),R$4&lt;=IF($M22="",12,$M22)),$O22,0)</f>
        <v>746.05</v>
      </c>
      <c r="S22" s="17" t="n">
        <f aca="false">IF(AND(S$4&gt;=IF($L22="",1,$L22),S$4&lt;=IF($M22="",12,$M22)),$O22,0)</f>
        <v>746.05</v>
      </c>
      <c r="T22" s="17" t="n">
        <f aca="false">IF(AND(T$4&gt;=IF($L22="",1,$L22),T$4&lt;=IF($M22="",12,$M22)),$O22,0)</f>
        <v>746.05</v>
      </c>
      <c r="U22" s="17" t="n">
        <f aca="false">IF(AND(U$4&gt;=IF($L22="",1,$L22),U$4&lt;=IF($M22="",12,$M22)),$O22,0)</f>
        <v>746.05</v>
      </c>
      <c r="V22" s="17" t="n">
        <f aca="false">IF(AND(V$4&gt;=IF($L22="",1,$L22),V$4&lt;=IF($M22="",12,$M22)),$O22,0)</f>
        <v>746.05</v>
      </c>
      <c r="W22" s="17" t="n">
        <f aca="false">IF(AND(W$4&gt;=IF($L22="",1,$L22),W$4&lt;=IF($M22="",12,$M22)),$O22,0)</f>
        <v>746.05</v>
      </c>
      <c r="X22" s="17" t="n">
        <f aca="false">IF(AND(X$4&gt;=IF($L22="",1,$L22),X$4&lt;=IF($M22="",12,$M22)),$O22,0)</f>
        <v>746.05</v>
      </c>
      <c r="Y22" s="17" t="n">
        <f aca="false">IF(AND(Y$4&gt;=IF($L22="",1,$L22),Y$4&lt;=IF($M22="",12,$M22)),$O22,0)</f>
        <v>746.05</v>
      </c>
      <c r="Z22" s="17" t="n">
        <f aca="false">IF(AND(Z$4&gt;=IF($L22="",1,$L22),Z$4&lt;=IF($M22="",12,$M22)),$O22,0)</f>
        <v>746.05</v>
      </c>
      <c r="AA22" s="17" t="n">
        <f aca="false">IF(AND(AA$4&gt;=IF($L22="",1,$L22),AA$4&lt;=IF($M22="",12,$M22)),$O22,0)</f>
        <v>746.05</v>
      </c>
      <c r="AB22" s="18" t="n">
        <f aca="false">SUM(P22:AA22)</f>
        <v>8952.6</v>
      </c>
    </row>
    <row r="23" customFormat="false" ht="15" hidden="false" customHeight="false" outlineLevel="0" collapsed="false">
      <c r="A23" s="42" t="s">
        <v>277</v>
      </c>
      <c r="B23" s="25" t="s">
        <v>62</v>
      </c>
      <c r="C23" s="43" t="s">
        <v>252</v>
      </c>
      <c r="D23" s="49" t="s">
        <v>278</v>
      </c>
      <c r="E23" s="45" t="n">
        <v>1</v>
      </c>
      <c r="F23" s="40"/>
      <c r="G23" s="46" t="n">
        <f aca="false">IFERROR(IF($F23&gt;0,MAX(0,INDEX('XERO ACTUALS'!$T$5:$T$132,MATCH($A23,'XERO ACTUALS'!$A$5:$A$132,0))-$F23),INDEX('XERO ACTUALS'!$T$5:$T$132,MATCH($A23,'XERO ACTUALS'!$A$5:$A$132,0)))*IF($E23="",1,$E23),"")</f>
        <v>328.333333333333</v>
      </c>
      <c r="H23" s="40" t="n">
        <v>235</v>
      </c>
      <c r="I23" s="26" t="s">
        <v>254</v>
      </c>
      <c r="J23" s="32"/>
      <c r="K23" s="27" t="n">
        <v>0</v>
      </c>
      <c r="L23" s="26" t="n">
        <v>1</v>
      </c>
      <c r="M23" s="26" t="n">
        <v>12</v>
      </c>
      <c r="N23" s="47" t="s">
        <v>255</v>
      </c>
      <c r="O23" s="18" t="n">
        <f aca="false">IF($N23="N",0,IF($A23="",0,(IF($J23&lt;&gt;"",$J23,IF($I23="BUDGET",IF($H23="",0,$H23),IF($G23="",0,$G23))))*(1+IF($K23="",0,$K23))))</f>
        <v>328.333333333333</v>
      </c>
      <c r="P23" s="17" t="n">
        <f aca="false">IF(AND(P$4&gt;=IF($L23="",1,$L23),P$4&lt;=IF($M23="",12,$M23)),$O23,0)</f>
        <v>328.333333333333</v>
      </c>
      <c r="Q23" s="17" t="n">
        <f aca="false">IF(AND(Q$4&gt;=IF($L23="",1,$L23),Q$4&lt;=IF($M23="",12,$M23)),$O23,0)</f>
        <v>328.333333333333</v>
      </c>
      <c r="R23" s="17" t="n">
        <f aca="false">IF(AND(R$4&gt;=IF($L23="",1,$L23),R$4&lt;=IF($M23="",12,$M23)),$O23,0)</f>
        <v>328.333333333333</v>
      </c>
      <c r="S23" s="17" t="n">
        <f aca="false">IF(AND(S$4&gt;=IF($L23="",1,$L23),S$4&lt;=IF($M23="",12,$M23)),$O23,0)</f>
        <v>328.333333333333</v>
      </c>
      <c r="T23" s="17" t="n">
        <f aca="false">IF(AND(T$4&gt;=IF($L23="",1,$L23),T$4&lt;=IF($M23="",12,$M23)),$O23,0)</f>
        <v>328.333333333333</v>
      </c>
      <c r="U23" s="17" t="n">
        <f aca="false">IF(AND(U$4&gt;=IF($L23="",1,$L23),U$4&lt;=IF($M23="",12,$M23)),$O23,0)</f>
        <v>328.333333333333</v>
      </c>
      <c r="V23" s="17" t="n">
        <f aca="false">IF(AND(V$4&gt;=IF($L23="",1,$L23),V$4&lt;=IF($M23="",12,$M23)),$O23,0)</f>
        <v>328.333333333333</v>
      </c>
      <c r="W23" s="17" t="n">
        <f aca="false">IF(AND(W$4&gt;=IF($L23="",1,$L23),W$4&lt;=IF($M23="",12,$M23)),$O23,0)</f>
        <v>328.333333333333</v>
      </c>
      <c r="X23" s="17" t="n">
        <f aca="false">IF(AND(X$4&gt;=IF($L23="",1,$L23),X$4&lt;=IF($M23="",12,$M23)),$O23,0)</f>
        <v>328.333333333333</v>
      </c>
      <c r="Y23" s="17" t="n">
        <f aca="false">IF(AND(Y$4&gt;=IF($L23="",1,$L23),Y$4&lt;=IF($M23="",12,$M23)),$O23,0)</f>
        <v>328.333333333333</v>
      </c>
      <c r="Z23" s="17" t="n">
        <f aca="false">IF(AND(Z$4&gt;=IF($L23="",1,$L23),Z$4&lt;=IF($M23="",12,$M23)),$O23,0)</f>
        <v>328.333333333333</v>
      </c>
      <c r="AA23" s="17" t="n">
        <f aca="false">IF(AND(AA$4&gt;=IF($L23="",1,$L23),AA$4&lt;=IF($M23="",12,$M23)),$O23,0)</f>
        <v>328.333333333333</v>
      </c>
      <c r="AB23" s="18" t="n">
        <f aca="false">SUM(P23:AA23)</f>
        <v>3940</v>
      </c>
    </row>
    <row r="24" customFormat="false" ht="15" hidden="false" customHeight="false" outlineLevel="0" collapsed="false">
      <c r="A24" s="42" t="s">
        <v>262</v>
      </c>
      <c r="B24" s="25" t="s">
        <v>62</v>
      </c>
      <c r="C24" s="43" t="s">
        <v>252</v>
      </c>
      <c r="D24" s="44" t="s">
        <v>253</v>
      </c>
      <c r="E24" s="45" t="n">
        <v>0.8766</v>
      </c>
      <c r="F24" s="40"/>
      <c r="G24" s="46" t="n">
        <f aca="false">IFERROR(IF($F24&gt;0,MAX(0,INDEX('XERO ACTUALS'!$T$5:$T$132,MATCH($A24,'XERO ACTUALS'!$A$5:$A$132,0))-$F24),INDEX('XERO ACTUALS'!$T$5:$T$132,MATCH($A24,'XERO ACTUALS'!$A$5:$A$132,0)))*IF($E24="",1,$E24),"")</f>
        <v>256.966524</v>
      </c>
      <c r="H24" s="40" t="n">
        <v>151.92</v>
      </c>
      <c r="I24" s="26" t="s">
        <v>254</v>
      </c>
      <c r="J24" s="32"/>
      <c r="K24" s="27" t="n">
        <v>0</v>
      </c>
      <c r="L24" s="26" t="n">
        <v>1</v>
      </c>
      <c r="M24" s="26" t="n">
        <v>12</v>
      </c>
      <c r="N24" s="47" t="s">
        <v>255</v>
      </c>
      <c r="O24" s="18" t="n">
        <f aca="false">IF($N24="N",0,IF($A24="",0,(IF($J24&lt;&gt;"",$J24,IF($I24="BUDGET",IF($H24="",0,$H24),IF($G24="",0,$G24))))*(1+IF($K24="",0,$K24))))</f>
        <v>256.966524</v>
      </c>
      <c r="P24" s="17" t="n">
        <f aca="false">IF(AND(P$4&gt;=IF($L24="",1,$L24),P$4&lt;=IF($M24="",12,$M24)),$O24,0)</f>
        <v>256.966524</v>
      </c>
      <c r="Q24" s="17" t="n">
        <f aca="false">IF(AND(Q$4&gt;=IF($L24="",1,$L24),Q$4&lt;=IF($M24="",12,$M24)),$O24,0)</f>
        <v>256.966524</v>
      </c>
      <c r="R24" s="17" t="n">
        <f aca="false">IF(AND(R$4&gt;=IF($L24="",1,$L24),R$4&lt;=IF($M24="",12,$M24)),$O24,0)</f>
        <v>256.966524</v>
      </c>
      <c r="S24" s="17" t="n">
        <f aca="false">IF(AND(S$4&gt;=IF($L24="",1,$L24),S$4&lt;=IF($M24="",12,$M24)),$O24,0)</f>
        <v>256.966524</v>
      </c>
      <c r="T24" s="17" t="n">
        <f aca="false">IF(AND(T$4&gt;=IF($L24="",1,$L24),T$4&lt;=IF($M24="",12,$M24)),$O24,0)</f>
        <v>256.966524</v>
      </c>
      <c r="U24" s="17" t="n">
        <f aca="false">IF(AND(U$4&gt;=IF($L24="",1,$L24),U$4&lt;=IF($M24="",12,$M24)),$O24,0)</f>
        <v>256.966524</v>
      </c>
      <c r="V24" s="17" t="n">
        <f aca="false">IF(AND(V$4&gt;=IF($L24="",1,$L24),V$4&lt;=IF($M24="",12,$M24)),$O24,0)</f>
        <v>256.966524</v>
      </c>
      <c r="W24" s="17" t="n">
        <f aca="false">IF(AND(W$4&gt;=IF($L24="",1,$L24),W$4&lt;=IF($M24="",12,$M24)),$O24,0)</f>
        <v>256.966524</v>
      </c>
      <c r="X24" s="17" t="n">
        <f aca="false">IF(AND(X$4&gt;=IF($L24="",1,$L24),X$4&lt;=IF($M24="",12,$M24)),$O24,0)</f>
        <v>256.966524</v>
      </c>
      <c r="Y24" s="17" t="n">
        <f aca="false">IF(AND(Y$4&gt;=IF($L24="",1,$L24),Y$4&lt;=IF($M24="",12,$M24)),$O24,0)</f>
        <v>256.966524</v>
      </c>
      <c r="Z24" s="17" t="n">
        <f aca="false">IF(AND(Z$4&gt;=IF($L24="",1,$L24),Z$4&lt;=IF($M24="",12,$M24)),$O24,0)</f>
        <v>256.966524</v>
      </c>
      <c r="AA24" s="17" t="n">
        <f aca="false">IF(AND(AA$4&gt;=IF($L24="",1,$L24),AA$4&lt;=IF($M24="",12,$M24)),$O24,0)</f>
        <v>256.966524</v>
      </c>
      <c r="AB24" s="18" t="n">
        <f aca="false">SUM(P24:AA24)</f>
        <v>3083.598288</v>
      </c>
    </row>
    <row r="25" customFormat="false" ht="15" hidden="false" customHeight="false" outlineLevel="0" collapsed="false">
      <c r="A25" s="42" t="s">
        <v>279</v>
      </c>
      <c r="B25" s="25" t="s">
        <v>62</v>
      </c>
      <c r="C25" s="43" t="s">
        <v>252</v>
      </c>
      <c r="D25" s="44" t="s">
        <v>253</v>
      </c>
      <c r="E25" s="45" t="n">
        <v>1</v>
      </c>
      <c r="F25" s="40"/>
      <c r="G25" s="46" t="n">
        <f aca="false">IFERROR(IF($F25&gt;0,MAX(0,INDEX('XERO ACTUALS'!$T$5:$T$132,MATCH($A25,'XERO ACTUALS'!$A$5:$A$132,0))-$F25),INDEX('XERO ACTUALS'!$T$5:$T$132,MATCH($A25,'XERO ACTUALS'!$A$5:$A$132,0)))*IF($E25="",1,$E25),"")</f>
        <v>236.19</v>
      </c>
      <c r="H25" s="40" t="n">
        <v>236.19</v>
      </c>
      <c r="I25" s="26" t="s">
        <v>254</v>
      </c>
      <c r="J25" s="32"/>
      <c r="K25" s="27" t="n">
        <v>0</v>
      </c>
      <c r="L25" s="26" t="n">
        <v>1</v>
      </c>
      <c r="M25" s="26" t="n">
        <v>12</v>
      </c>
      <c r="N25" s="47" t="s">
        <v>255</v>
      </c>
      <c r="O25" s="18" t="n">
        <f aca="false">IF($N25="N",0,IF($A25="",0,(IF($J25&lt;&gt;"",$J25,IF($I25="BUDGET",IF($H25="",0,$H25),IF($G25="",0,$G25))))*(1+IF($K25="",0,$K25))))</f>
        <v>236.19</v>
      </c>
      <c r="P25" s="17" t="n">
        <f aca="false">IF(AND(P$4&gt;=IF($L25="",1,$L25),P$4&lt;=IF($M25="",12,$M25)),$O25,0)</f>
        <v>236.19</v>
      </c>
      <c r="Q25" s="17" t="n">
        <f aca="false">IF(AND(Q$4&gt;=IF($L25="",1,$L25),Q$4&lt;=IF($M25="",12,$M25)),$O25,0)</f>
        <v>236.19</v>
      </c>
      <c r="R25" s="17" t="n">
        <f aca="false">IF(AND(R$4&gt;=IF($L25="",1,$L25),R$4&lt;=IF($M25="",12,$M25)),$O25,0)</f>
        <v>236.19</v>
      </c>
      <c r="S25" s="17" t="n">
        <f aca="false">IF(AND(S$4&gt;=IF($L25="",1,$L25),S$4&lt;=IF($M25="",12,$M25)),$O25,0)</f>
        <v>236.19</v>
      </c>
      <c r="T25" s="17" t="n">
        <f aca="false">IF(AND(T$4&gt;=IF($L25="",1,$L25),T$4&lt;=IF($M25="",12,$M25)),$O25,0)</f>
        <v>236.19</v>
      </c>
      <c r="U25" s="17" t="n">
        <f aca="false">IF(AND(U$4&gt;=IF($L25="",1,$L25),U$4&lt;=IF($M25="",12,$M25)),$O25,0)</f>
        <v>236.19</v>
      </c>
      <c r="V25" s="17" t="n">
        <f aca="false">IF(AND(V$4&gt;=IF($L25="",1,$L25),V$4&lt;=IF($M25="",12,$M25)),$O25,0)</f>
        <v>236.19</v>
      </c>
      <c r="W25" s="17" t="n">
        <f aca="false">IF(AND(W$4&gt;=IF($L25="",1,$L25),W$4&lt;=IF($M25="",12,$M25)),$O25,0)</f>
        <v>236.19</v>
      </c>
      <c r="X25" s="17" t="n">
        <f aca="false">IF(AND(X$4&gt;=IF($L25="",1,$L25),X$4&lt;=IF($M25="",12,$M25)),$O25,0)</f>
        <v>236.19</v>
      </c>
      <c r="Y25" s="17" t="n">
        <f aca="false">IF(AND(Y$4&gt;=IF($L25="",1,$L25),Y$4&lt;=IF($M25="",12,$M25)),$O25,0)</f>
        <v>236.19</v>
      </c>
      <c r="Z25" s="17" t="n">
        <f aca="false">IF(AND(Z$4&gt;=IF($L25="",1,$L25),Z$4&lt;=IF($M25="",12,$M25)),$O25,0)</f>
        <v>236.19</v>
      </c>
      <c r="AA25" s="17" t="n">
        <f aca="false">IF(AND(AA$4&gt;=IF($L25="",1,$L25),AA$4&lt;=IF($M25="",12,$M25)),$O25,0)</f>
        <v>236.19</v>
      </c>
      <c r="AB25" s="18" t="n">
        <f aca="false">SUM(P25:AA25)</f>
        <v>2834.28</v>
      </c>
    </row>
    <row r="26" customFormat="false" ht="15" hidden="false" customHeight="false" outlineLevel="0" collapsed="false">
      <c r="A26" s="16" t="s">
        <v>280</v>
      </c>
      <c r="B26" s="25" t="s">
        <v>62</v>
      </c>
      <c r="C26" s="43" t="s">
        <v>264</v>
      </c>
      <c r="D26" s="44" t="s">
        <v>265</v>
      </c>
      <c r="E26" s="45"/>
      <c r="F26" s="40"/>
      <c r="G26" s="46"/>
      <c r="H26" s="40" t="n">
        <v>192.94</v>
      </c>
      <c r="I26" s="26" t="s">
        <v>266</v>
      </c>
      <c r="J26" s="32"/>
      <c r="K26" s="27" t="n">
        <v>0</v>
      </c>
      <c r="L26" s="26" t="n">
        <v>1</v>
      </c>
      <c r="M26" s="26" t="n">
        <v>12</v>
      </c>
      <c r="N26" s="47" t="s">
        <v>267</v>
      </c>
      <c r="O26" s="18" t="n">
        <f aca="false">IF($N26="N",0,IF($A26="",0,(IF($J26&lt;&gt;"",$J26,IF($I26="BUDGET",IF($H26="",0,$H26),IF($G26="",0,$G26))))*(1+IF($K26="",0,$K26))))</f>
        <v>0</v>
      </c>
      <c r="P26" s="17" t="n">
        <f aca="false">IF(AND(P$4&gt;=IF($L26="",1,$L26),P$4&lt;=IF($M26="",12,$M26)),$O26,0)</f>
        <v>0</v>
      </c>
      <c r="Q26" s="17" t="n">
        <f aca="false">IF(AND(Q$4&gt;=IF($L26="",1,$L26),Q$4&lt;=IF($M26="",12,$M26)),$O26,0)</f>
        <v>0</v>
      </c>
      <c r="R26" s="17" t="n">
        <f aca="false">IF(AND(R$4&gt;=IF($L26="",1,$L26),R$4&lt;=IF($M26="",12,$M26)),$O26,0)</f>
        <v>0</v>
      </c>
      <c r="S26" s="17" t="n">
        <f aca="false">IF(AND(S$4&gt;=IF($L26="",1,$L26),S$4&lt;=IF($M26="",12,$M26)),$O26,0)</f>
        <v>0</v>
      </c>
      <c r="T26" s="17" t="n">
        <f aca="false">IF(AND(T$4&gt;=IF($L26="",1,$L26),T$4&lt;=IF($M26="",12,$M26)),$O26,0)</f>
        <v>0</v>
      </c>
      <c r="U26" s="17" t="n">
        <f aca="false">IF(AND(U$4&gt;=IF($L26="",1,$L26),U$4&lt;=IF($M26="",12,$M26)),$O26,0)</f>
        <v>0</v>
      </c>
      <c r="V26" s="17" t="n">
        <f aca="false">IF(AND(V$4&gt;=IF($L26="",1,$L26),V$4&lt;=IF($M26="",12,$M26)),$O26,0)</f>
        <v>0</v>
      </c>
      <c r="W26" s="17" t="n">
        <f aca="false">IF(AND(W$4&gt;=IF($L26="",1,$L26),W$4&lt;=IF($M26="",12,$M26)),$O26,0)</f>
        <v>0</v>
      </c>
      <c r="X26" s="17" t="n">
        <f aca="false">IF(AND(X$4&gt;=IF($L26="",1,$L26),X$4&lt;=IF($M26="",12,$M26)),$O26,0)</f>
        <v>0</v>
      </c>
      <c r="Y26" s="17" t="n">
        <f aca="false">IF(AND(Y$4&gt;=IF($L26="",1,$L26),Y$4&lt;=IF($M26="",12,$M26)),$O26,0)</f>
        <v>0</v>
      </c>
      <c r="Z26" s="17" t="n">
        <f aca="false">IF(AND(Z$4&gt;=IF($L26="",1,$L26),Z$4&lt;=IF($M26="",12,$M26)),$O26,0)</f>
        <v>0</v>
      </c>
      <c r="AA26" s="17" t="n">
        <f aca="false">IF(AND(AA$4&gt;=IF($L26="",1,$L26),AA$4&lt;=IF($M26="",12,$M26)),$O26,0)</f>
        <v>0</v>
      </c>
      <c r="AB26" s="18" t="n">
        <f aca="false">SUM(P26:AA26)</f>
        <v>0</v>
      </c>
    </row>
    <row r="27" customFormat="false" ht="15" hidden="false" customHeight="false" outlineLevel="0" collapsed="false">
      <c r="A27" s="42" t="s">
        <v>281</v>
      </c>
      <c r="B27" s="25" t="s">
        <v>62</v>
      </c>
      <c r="C27" s="43" t="s">
        <v>252</v>
      </c>
      <c r="D27" s="48" t="s">
        <v>261</v>
      </c>
      <c r="E27" s="45" t="n">
        <v>1</v>
      </c>
      <c r="F27" s="40"/>
      <c r="G27" s="46" t="n">
        <f aca="false">IFERROR(IF($F27&gt;0,MAX(0,INDEX('XERO ACTUALS'!$T$5:$T$132,MATCH($A27,'XERO ACTUALS'!$A$5:$A$132,0))-$F27),INDEX('XERO ACTUALS'!$T$5:$T$132,MATCH($A27,'XERO ACTUALS'!$A$5:$A$132,0)))*IF($E27="",1,$E27),"")</f>
        <v>159.7</v>
      </c>
      <c r="H27" s="40" t="n">
        <v>26.62</v>
      </c>
      <c r="I27" s="26" t="s">
        <v>254</v>
      </c>
      <c r="J27" s="32"/>
      <c r="K27" s="27" t="n">
        <v>0</v>
      </c>
      <c r="L27" s="26" t="n">
        <v>1</v>
      </c>
      <c r="M27" s="26" t="n">
        <v>12</v>
      </c>
      <c r="N27" s="47" t="s">
        <v>255</v>
      </c>
      <c r="O27" s="18" t="n">
        <f aca="false">IF($N27="N",0,IF($A27="",0,(IF($J27&lt;&gt;"",$J27,IF($I27="BUDGET",IF($H27="",0,$H27),IF($G27="",0,$G27))))*(1+IF($K27="",0,$K27))))</f>
        <v>159.7</v>
      </c>
      <c r="P27" s="17" t="n">
        <f aca="false">IF(AND(P$4&gt;=IF($L27="",1,$L27),P$4&lt;=IF($M27="",12,$M27)),$O27,0)</f>
        <v>159.7</v>
      </c>
      <c r="Q27" s="17" t="n">
        <f aca="false">IF(AND(Q$4&gt;=IF($L27="",1,$L27),Q$4&lt;=IF($M27="",12,$M27)),$O27,0)</f>
        <v>159.7</v>
      </c>
      <c r="R27" s="17" t="n">
        <f aca="false">IF(AND(R$4&gt;=IF($L27="",1,$L27),R$4&lt;=IF($M27="",12,$M27)),$O27,0)</f>
        <v>159.7</v>
      </c>
      <c r="S27" s="17" t="n">
        <f aca="false">IF(AND(S$4&gt;=IF($L27="",1,$L27),S$4&lt;=IF($M27="",12,$M27)),$O27,0)</f>
        <v>159.7</v>
      </c>
      <c r="T27" s="17" t="n">
        <f aca="false">IF(AND(T$4&gt;=IF($L27="",1,$L27),T$4&lt;=IF($M27="",12,$M27)),$O27,0)</f>
        <v>159.7</v>
      </c>
      <c r="U27" s="17" t="n">
        <f aca="false">IF(AND(U$4&gt;=IF($L27="",1,$L27),U$4&lt;=IF($M27="",12,$M27)),$O27,0)</f>
        <v>159.7</v>
      </c>
      <c r="V27" s="17" t="n">
        <f aca="false">IF(AND(V$4&gt;=IF($L27="",1,$L27),V$4&lt;=IF($M27="",12,$M27)),$O27,0)</f>
        <v>159.7</v>
      </c>
      <c r="W27" s="17" t="n">
        <f aca="false">IF(AND(W$4&gt;=IF($L27="",1,$L27),W$4&lt;=IF($M27="",12,$M27)),$O27,0)</f>
        <v>159.7</v>
      </c>
      <c r="X27" s="17" t="n">
        <f aca="false">IF(AND(X$4&gt;=IF($L27="",1,$L27),X$4&lt;=IF($M27="",12,$M27)),$O27,0)</f>
        <v>159.7</v>
      </c>
      <c r="Y27" s="17" t="n">
        <f aca="false">IF(AND(Y$4&gt;=IF($L27="",1,$L27),Y$4&lt;=IF($M27="",12,$M27)),$O27,0)</f>
        <v>159.7</v>
      </c>
      <c r="Z27" s="17" t="n">
        <f aca="false">IF(AND(Z$4&gt;=IF($L27="",1,$L27),Z$4&lt;=IF($M27="",12,$M27)),$O27,0)</f>
        <v>159.7</v>
      </c>
      <c r="AA27" s="17" t="n">
        <f aca="false">IF(AND(AA$4&gt;=IF($L27="",1,$L27),AA$4&lt;=IF($M27="",12,$M27)),$O27,0)</f>
        <v>159.7</v>
      </c>
      <c r="AB27" s="18" t="n">
        <f aca="false">SUM(P27:AA27)</f>
        <v>1916.4</v>
      </c>
    </row>
    <row r="28" customFormat="false" ht="15" hidden="false" customHeight="false" outlineLevel="0" collapsed="false">
      <c r="A28" s="16" t="s">
        <v>282</v>
      </c>
      <c r="B28" s="25" t="s">
        <v>62</v>
      </c>
      <c r="C28" s="43" t="s">
        <v>264</v>
      </c>
      <c r="D28" s="44" t="s">
        <v>265</v>
      </c>
      <c r="E28" s="45"/>
      <c r="F28" s="40"/>
      <c r="G28" s="46"/>
      <c r="H28" s="40" t="n">
        <v>101.65</v>
      </c>
      <c r="I28" s="26" t="s">
        <v>266</v>
      </c>
      <c r="J28" s="32"/>
      <c r="K28" s="27" t="n">
        <v>0</v>
      </c>
      <c r="L28" s="26" t="n">
        <v>1</v>
      </c>
      <c r="M28" s="26" t="n">
        <v>12</v>
      </c>
      <c r="N28" s="47" t="s">
        <v>267</v>
      </c>
      <c r="O28" s="18" t="n">
        <f aca="false">IF($N28="N",0,IF($A28="",0,(IF($J28&lt;&gt;"",$J28,IF($I28="BUDGET",IF($H28="",0,$H28),IF($G28="",0,$G28))))*(1+IF($K28="",0,$K28))))</f>
        <v>0</v>
      </c>
      <c r="P28" s="17" t="n">
        <f aca="false">IF(AND(P$4&gt;=IF($L28="",1,$L28),P$4&lt;=IF($M28="",12,$M28)),$O28,0)</f>
        <v>0</v>
      </c>
      <c r="Q28" s="17" t="n">
        <f aca="false">IF(AND(Q$4&gt;=IF($L28="",1,$L28),Q$4&lt;=IF($M28="",12,$M28)),$O28,0)</f>
        <v>0</v>
      </c>
      <c r="R28" s="17" t="n">
        <f aca="false">IF(AND(R$4&gt;=IF($L28="",1,$L28),R$4&lt;=IF($M28="",12,$M28)),$O28,0)</f>
        <v>0</v>
      </c>
      <c r="S28" s="17" t="n">
        <f aca="false">IF(AND(S$4&gt;=IF($L28="",1,$L28),S$4&lt;=IF($M28="",12,$M28)),$O28,0)</f>
        <v>0</v>
      </c>
      <c r="T28" s="17" t="n">
        <f aca="false">IF(AND(T$4&gt;=IF($L28="",1,$L28),T$4&lt;=IF($M28="",12,$M28)),$O28,0)</f>
        <v>0</v>
      </c>
      <c r="U28" s="17" t="n">
        <f aca="false">IF(AND(U$4&gt;=IF($L28="",1,$L28),U$4&lt;=IF($M28="",12,$M28)),$O28,0)</f>
        <v>0</v>
      </c>
      <c r="V28" s="17" t="n">
        <f aca="false">IF(AND(V$4&gt;=IF($L28="",1,$L28),V$4&lt;=IF($M28="",12,$M28)),$O28,0)</f>
        <v>0</v>
      </c>
      <c r="W28" s="17" t="n">
        <f aca="false">IF(AND(W$4&gt;=IF($L28="",1,$L28),W$4&lt;=IF($M28="",12,$M28)),$O28,0)</f>
        <v>0</v>
      </c>
      <c r="X28" s="17" t="n">
        <f aca="false">IF(AND(X$4&gt;=IF($L28="",1,$L28),X$4&lt;=IF($M28="",12,$M28)),$O28,0)</f>
        <v>0</v>
      </c>
      <c r="Y28" s="17" t="n">
        <f aca="false">IF(AND(Y$4&gt;=IF($L28="",1,$L28),Y$4&lt;=IF($M28="",12,$M28)),$O28,0)</f>
        <v>0</v>
      </c>
      <c r="Z28" s="17" t="n">
        <f aca="false">IF(AND(Z$4&gt;=IF($L28="",1,$L28),Z$4&lt;=IF($M28="",12,$M28)),$O28,0)</f>
        <v>0</v>
      </c>
      <c r="AA28" s="17" t="n">
        <f aca="false">IF(AND(AA$4&gt;=IF($L28="",1,$L28),AA$4&lt;=IF($M28="",12,$M28)),$O28,0)</f>
        <v>0</v>
      </c>
      <c r="AB28" s="18" t="n">
        <f aca="false">SUM(P28:AA28)</f>
        <v>0</v>
      </c>
    </row>
    <row r="29" customFormat="false" ht="15" hidden="false" customHeight="false" outlineLevel="0" collapsed="false">
      <c r="A29" s="42" t="s">
        <v>283</v>
      </c>
      <c r="B29" s="25" t="s">
        <v>62</v>
      </c>
      <c r="C29" s="43" t="s">
        <v>252</v>
      </c>
      <c r="D29" s="44" t="s">
        <v>253</v>
      </c>
      <c r="E29" s="45" t="n">
        <v>1</v>
      </c>
      <c r="F29" s="40"/>
      <c r="G29" s="46" t="n">
        <f aca="false">IFERROR(IF($F29&gt;0,MAX(0,INDEX('XERO ACTUALS'!$T$5:$T$132,MATCH($A29,'XERO ACTUALS'!$A$5:$A$132,0))-$F29),INDEX('XERO ACTUALS'!$T$5:$T$132,MATCH($A29,'XERO ACTUALS'!$A$5:$A$132,0)))*IF($E29="",1,$E29),"")</f>
        <v>89</v>
      </c>
      <c r="H29" s="40" t="n">
        <v>59</v>
      </c>
      <c r="I29" s="26" t="s">
        <v>254</v>
      </c>
      <c r="J29" s="32"/>
      <c r="K29" s="27" t="n">
        <v>0</v>
      </c>
      <c r="L29" s="26" t="n">
        <v>1</v>
      </c>
      <c r="M29" s="26" t="n">
        <v>12</v>
      </c>
      <c r="N29" s="47" t="s">
        <v>255</v>
      </c>
      <c r="O29" s="18" t="n">
        <f aca="false">IF($N29="N",0,IF($A29="",0,(IF($J29&lt;&gt;"",$J29,IF($I29="BUDGET",IF($H29="",0,$H29),IF($G29="",0,$G29))))*(1+IF($K29="",0,$K29))))</f>
        <v>89</v>
      </c>
      <c r="P29" s="17" t="n">
        <f aca="false">IF(AND(P$4&gt;=IF($L29="",1,$L29),P$4&lt;=IF($M29="",12,$M29)),$O29,0)</f>
        <v>89</v>
      </c>
      <c r="Q29" s="17" t="n">
        <f aca="false">IF(AND(Q$4&gt;=IF($L29="",1,$L29),Q$4&lt;=IF($M29="",12,$M29)),$O29,0)</f>
        <v>89</v>
      </c>
      <c r="R29" s="17" t="n">
        <f aca="false">IF(AND(R$4&gt;=IF($L29="",1,$L29),R$4&lt;=IF($M29="",12,$M29)),$O29,0)</f>
        <v>89</v>
      </c>
      <c r="S29" s="17" t="n">
        <f aca="false">IF(AND(S$4&gt;=IF($L29="",1,$L29),S$4&lt;=IF($M29="",12,$M29)),$O29,0)</f>
        <v>89</v>
      </c>
      <c r="T29" s="17" t="n">
        <f aca="false">IF(AND(T$4&gt;=IF($L29="",1,$L29),T$4&lt;=IF($M29="",12,$M29)),$O29,0)</f>
        <v>89</v>
      </c>
      <c r="U29" s="17" t="n">
        <f aca="false">IF(AND(U$4&gt;=IF($L29="",1,$L29),U$4&lt;=IF($M29="",12,$M29)),$O29,0)</f>
        <v>89</v>
      </c>
      <c r="V29" s="17" t="n">
        <f aca="false">IF(AND(V$4&gt;=IF($L29="",1,$L29),V$4&lt;=IF($M29="",12,$M29)),$O29,0)</f>
        <v>89</v>
      </c>
      <c r="W29" s="17" t="n">
        <f aca="false">IF(AND(W$4&gt;=IF($L29="",1,$L29),W$4&lt;=IF($M29="",12,$M29)),$O29,0)</f>
        <v>89</v>
      </c>
      <c r="X29" s="17" t="n">
        <f aca="false">IF(AND(X$4&gt;=IF($L29="",1,$L29),X$4&lt;=IF($M29="",12,$M29)),$O29,0)</f>
        <v>89</v>
      </c>
      <c r="Y29" s="17" t="n">
        <f aca="false">IF(AND(Y$4&gt;=IF($L29="",1,$L29),Y$4&lt;=IF($M29="",12,$M29)),$O29,0)</f>
        <v>89</v>
      </c>
      <c r="Z29" s="17" t="n">
        <f aca="false">IF(AND(Z$4&gt;=IF($L29="",1,$L29),Z$4&lt;=IF($M29="",12,$M29)),$O29,0)</f>
        <v>89</v>
      </c>
      <c r="AA29" s="17" t="n">
        <f aca="false">IF(AND(AA$4&gt;=IF($L29="",1,$L29),AA$4&lt;=IF($M29="",12,$M29)),$O29,0)</f>
        <v>89</v>
      </c>
      <c r="AB29" s="18" t="n">
        <f aca="false">SUM(P29:AA29)</f>
        <v>1068</v>
      </c>
    </row>
    <row r="30" customFormat="false" ht="15" hidden="false" customHeight="false" outlineLevel="0" collapsed="false">
      <c r="A30" s="42" t="s">
        <v>258</v>
      </c>
      <c r="B30" s="25" t="s">
        <v>62</v>
      </c>
      <c r="C30" s="43" t="s">
        <v>252</v>
      </c>
      <c r="D30" s="44" t="s">
        <v>253</v>
      </c>
      <c r="E30" s="45" t="n">
        <v>0.1021</v>
      </c>
      <c r="F30" s="40" t="n">
        <v>517.68</v>
      </c>
      <c r="G30" s="46" t="n">
        <f aca="false">IFERROR(IF($F30&gt;0,MAX(0,INDEX('XERO ACTUALS'!$T$5:$T$132,MATCH($A30,'XERO ACTUALS'!$A$5:$A$132,0))-$F30),INDEX('XERO ACTUALS'!$T$5:$T$132,MATCH($A30,'XERO ACTUALS'!$A$5:$A$132,0)))*IF($E30="",1,$E30),"")</f>
        <v>66.1686276666667</v>
      </c>
      <c r="H30" s="40" t="n">
        <v>57.5</v>
      </c>
      <c r="I30" s="26" t="s">
        <v>254</v>
      </c>
      <c r="J30" s="32"/>
      <c r="K30" s="27" t="n">
        <v>0</v>
      </c>
      <c r="L30" s="26" t="n">
        <v>1</v>
      </c>
      <c r="M30" s="26" t="n">
        <v>12</v>
      </c>
      <c r="N30" s="47" t="s">
        <v>255</v>
      </c>
      <c r="O30" s="18" t="n">
        <f aca="false">IF($N30="N",0,IF($A30="",0,(IF($J30&lt;&gt;"",$J30,IF($I30="BUDGET",IF($H30="",0,$H30),IF($G30="",0,$G30))))*(1+IF($K30="",0,$K30))))</f>
        <v>66.1686276666667</v>
      </c>
      <c r="P30" s="17" t="n">
        <f aca="false">IF(AND(P$4&gt;=IF($L30="",1,$L30),P$4&lt;=IF($M30="",12,$M30)),$O30,0)</f>
        <v>66.1686276666667</v>
      </c>
      <c r="Q30" s="17" t="n">
        <f aca="false">IF(AND(Q$4&gt;=IF($L30="",1,$L30),Q$4&lt;=IF($M30="",12,$M30)),$O30,0)</f>
        <v>66.1686276666667</v>
      </c>
      <c r="R30" s="17" t="n">
        <f aca="false">IF(AND(R$4&gt;=IF($L30="",1,$L30),R$4&lt;=IF($M30="",12,$M30)),$O30,0)</f>
        <v>66.1686276666667</v>
      </c>
      <c r="S30" s="17" t="n">
        <f aca="false">IF(AND(S$4&gt;=IF($L30="",1,$L30),S$4&lt;=IF($M30="",12,$M30)),$O30,0)</f>
        <v>66.1686276666667</v>
      </c>
      <c r="T30" s="17" t="n">
        <f aca="false">IF(AND(T$4&gt;=IF($L30="",1,$L30),T$4&lt;=IF($M30="",12,$M30)),$O30,0)</f>
        <v>66.1686276666667</v>
      </c>
      <c r="U30" s="17" t="n">
        <f aca="false">IF(AND(U$4&gt;=IF($L30="",1,$L30),U$4&lt;=IF($M30="",12,$M30)),$O30,0)</f>
        <v>66.1686276666667</v>
      </c>
      <c r="V30" s="17" t="n">
        <f aca="false">IF(AND(V$4&gt;=IF($L30="",1,$L30),V$4&lt;=IF($M30="",12,$M30)),$O30,0)</f>
        <v>66.1686276666667</v>
      </c>
      <c r="W30" s="17" t="n">
        <f aca="false">IF(AND(W$4&gt;=IF($L30="",1,$L30),W$4&lt;=IF($M30="",12,$M30)),$O30,0)</f>
        <v>66.1686276666667</v>
      </c>
      <c r="X30" s="17" t="n">
        <f aca="false">IF(AND(X$4&gt;=IF($L30="",1,$L30),X$4&lt;=IF($M30="",12,$M30)),$O30,0)</f>
        <v>66.1686276666667</v>
      </c>
      <c r="Y30" s="17" t="n">
        <f aca="false">IF(AND(Y$4&gt;=IF($L30="",1,$L30),Y$4&lt;=IF($M30="",12,$M30)),$O30,0)</f>
        <v>66.1686276666667</v>
      </c>
      <c r="Z30" s="17" t="n">
        <f aca="false">IF(AND(Z$4&gt;=IF($L30="",1,$L30),Z$4&lt;=IF($M30="",12,$M30)),$O30,0)</f>
        <v>66.1686276666667</v>
      </c>
      <c r="AA30" s="17" t="n">
        <f aca="false">IF(AND(AA$4&gt;=IF($L30="",1,$L30),AA$4&lt;=IF($M30="",12,$M30)),$O30,0)</f>
        <v>66.1686276666667</v>
      </c>
      <c r="AB30" s="18" t="n">
        <f aca="false">SUM(P30:AA30)</f>
        <v>794.023532</v>
      </c>
    </row>
    <row r="31" customFormat="false" ht="15" hidden="false" customHeight="false" outlineLevel="0" collapsed="false">
      <c r="A31" s="42" t="s">
        <v>284</v>
      </c>
      <c r="B31" s="25" t="s">
        <v>62</v>
      </c>
      <c r="C31" s="43" t="s">
        <v>252</v>
      </c>
      <c r="D31" s="50" t="s">
        <v>285</v>
      </c>
      <c r="E31" s="45" t="n">
        <v>1</v>
      </c>
      <c r="F31" s="40"/>
      <c r="G31" s="46" t="n">
        <f aca="false">IFERROR(IF($F31&gt;0,MAX(0,INDEX('XERO ACTUALS'!$T$5:$T$132,MATCH($A31,'XERO ACTUALS'!$A$5:$A$132,0))-$F31),INDEX('XERO ACTUALS'!$T$5:$T$132,MATCH($A31,'XERO ACTUALS'!$A$5:$A$132,0)))*IF($E31="",1,$E31),"")</f>
        <v>51.9707192539141</v>
      </c>
      <c r="H31" s="40" t="n">
        <v>33.25</v>
      </c>
      <c r="I31" s="26" t="s">
        <v>254</v>
      </c>
      <c r="J31" s="32"/>
      <c r="K31" s="27" t="n">
        <v>0</v>
      </c>
      <c r="L31" s="26" t="n">
        <v>1</v>
      </c>
      <c r="M31" s="26" t="n">
        <v>12</v>
      </c>
      <c r="N31" s="47" t="s">
        <v>267</v>
      </c>
      <c r="O31" s="18" t="n">
        <f aca="false">IF($N31="N",0,IF($A31="",0,(IF($J31&lt;&gt;"",$J31,IF($I31="BUDGET",IF($H31="",0,$H31),IF($G31="",0,$G31))))*(1+IF($K31="",0,$K31))))</f>
        <v>0</v>
      </c>
      <c r="P31" s="17" t="n">
        <f aca="false">IF(AND(P$4&gt;=IF($L31="",1,$L31),P$4&lt;=IF($M31="",12,$M31)),$O31,0)</f>
        <v>0</v>
      </c>
      <c r="Q31" s="17" t="n">
        <f aca="false">IF(AND(Q$4&gt;=IF($L31="",1,$L31),Q$4&lt;=IF($M31="",12,$M31)),$O31,0)</f>
        <v>0</v>
      </c>
      <c r="R31" s="17" t="n">
        <f aca="false">IF(AND(R$4&gt;=IF($L31="",1,$L31),R$4&lt;=IF($M31="",12,$M31)),$O31,0)</f>
        <v>0</v>
      </c>
      <c r="S31" s="17" t="n">
        <f aca="false">IF(AND(S$4&gt;=IF($L31="",1,$L31),S$4&lt;=IF($M31="",12,$M31)),$O31,0)</f>
        <v>0</v>
      </c>
      <c r="T31" s="17" t="n">
        <f aca="false">IF(AND(T$4&gt;=IF($L31="",1,$L31),T$4&lt;=IF($M31="",12,$M31)),$O31,0)</f>
        <v>0</v>
      </c>
      <c r="U31" s="17" t="n">
        <f aca="false">IF(AND(U$4&gt;=IF($L31="",1,$L31),U$4&lt;=IF($M31="",12,$M31)),$O31,0)</f>
        <v>0</v>
      </c>
      <c r="V31" s="17" t="n">
        <f aca="false">IF(AND(V$4&gt;=IF($L31="",1,$L31),V$4&lt;=IF($M31="",12,$M31)),$O31,0)</f>
        <v>0</v>
      </c>
      <c r="W31" s="17" t="n">
        <f aca="false">IF(AND(W$4&gt;=IF($L31="",1,$L31),W$4&lt;=IF($M31="",12,$M31)),$O31,0)</f>
        <v>0</v>
      </c>
      <c r="X31" s="17" t="n">
        <f aca="false">IF(AND(X$4&gt;=IF($L31="",1,$L31),X$4&lt;=IF($M31="",12,$M31)),$O31,0)</f>
        <v>0</v>
      </c>
      <c r="Y31" s="17" t="n">
        <f aca="false">IF(AND(Y$4&gt;=IF($L31="",1,$L31),Y$4&lt;=IF($M31="",12,$M31)),$O31,0)</f>
        <v>0</v>
      </c>
      <c r="Z31" s="17" t="n">
        <f aca="false">IF(AND(Z$4&gt;=IF($L31="",1,$L31),Z$4&lt;=IF($M31="",12,$M31)),$O31,0)</f>
        <v>0</v>
      </c>
      <c r="AA31" s="17" t="n">
        <f aca="false">IF(AND(AA$4&gt;=IF($L31="",1,$L31),AA$4&lt;=IF($M31="",12,$M31)),$O31,0)</f>
        <v>0</v>
      </c>
      <c r="AB31" s="18" t="n">
        <f aca="false">SUM(P31:AA31)</f>
        <v>0</v>
      </c>
    </row>
    <row r="32" customFormat="false" ht="15" hidden="false" customHeight="false" outlineLevel="0" collapsed="false">
      <c r="A32" s="42" t="s">
        <v>286</v>
      </c>
      <c r="B32" s="25" t="s">
        <v>62</v>
      </c>
      <c r="C32" s="43" t="s">
        <v>252</v>
      </c>
      <c r="D32" s="44" t="s">
        <v>253</v>
      </c>
      <c r="E32" s="45" t="n">
        <v>1</v>
      </c>
      <c r="F32" s="40"/>
      <c r="G32" s="46" t="n">
        <f aca="false">IFERROR(IF($F32&gt;0,MAX(0,INDEX('XERO ACTUALS'!$T$5:$T$132,MATCH($A32,'XERO ACTUALS'!$A$5:$A$132,0))-$F32),INDEX('XERO ACTUALS'!$T$5:$T$132,MATCH($A32,'XERO ACTUALS'!$A$5:$A$132,0)))*IF($E32="",1,$E32),"")</f>
        <v>50.0133333333333</v>
      </c>
      <c r="H32" s="40" t="n">
        <v>38.24</v>
      </c>
      <c r="I32" s="26" t="s">
        <v>254</v>
      </c>
      <c r="J32" s="32"/>
      <c r="K32" s="27" t="n">
        <v>0</v>
      </c>
      <c r="L32" s="26" t="n">
        <v>1</v>
      </c>
      <c r="M32" s="26" t="n">
        <v>12</v>
      </c>
      <c r="N32" s="47" t="s">
        <v>255</v>
      </c>
      <c r="O32" s="18" t="n">
        <f aca="false">IF($N32="N",0,IF($A32="",0,(IF($J32&lt;&gt;"",$J32,IF($I32="BUDGET",IF($H32="",0,$H32),IF($G32="",0,$G32))))*(1+IF($K32="",0,$K32))))</f>
        <v>50.0133333333333</v>
      </c>
      <c r="P32" s="17" t="n">
        <f aca="false">IF(AND(P$4&gt;=IF($L32="",1,$L32),P$4&lt;=IF($M32="",12,$M32)),$O32,0)</f>
        <v>50.0133333333333</v>
      </c>
      <c r="Q32" s="17" t="n">
        <f aca="false">IF(AND(Q$4&gt;=IF($L32="",1,$L32),Q$4&lt;=IF($M32="",12,$M32)),$O32,0)</f>
        <v>50.0133333333333</v>
      </c>
      <c r="R32" s="17" t="n">
        <f aca="false">IF(AND(R$4&gt;=IF($L32="",1,$L32),R$4&lt;=IF($M32="",12,$M32)),$O32,0)</f>
        <v>50.0133333333333</v>
      </c>
      <c r="S32" s="17" t="n">
        <f aca="false">IF(AND(S$4&gt;=IF($L32="",1,$L32),S$4&lt;=IF($M32="",12,$M32)),$O32,0)</f>
        <v>50.0133333333333</v>
      </c>
      <c r="T32" s="17" t="n">
        <f aca="false">IF(AND(T$4&gt;=IF($L32="",1,$L32),T$4&lt;=IF($M32="",12,$M32)),$O32,0)</f>
        <v>50.0133333333333</v>
      </c>
      <c r="U32" s="17" t="n">
        <f aca="false">IF(AND(U$4&gt;=IF($L32="",1,$L32),U$4&lt;=IF($M32="",12,$M32)),$O32,0)</f>
        <v>50.0133333333333</v>
      </c>
      <c r="V32" s="17" t="n">
        <f aca="false">IF(AND(V$4&gt;=IF($L32="",1,$L32),V$4&lt;=IF($M32="",12,$M32)),$O32,0)</f>
        <v>50.0133333333333</v>
      </c>
      <c r="W32" s="17" t="n">
        <f aca="false">IF(AND(W$4&gt;=IF($L32="",1,$L32),W$4&lt;=IF($M32="",12,$M32)),$O32,0)</f>
        <v>50.0133333333333</v>
      </c>
      <c r="X32" s="17" t="n">
        <f aca="false">IF(AND(X$4&gt;=IF($L32="",1,$L32),X$4&lt;=IF($M32="",12,$M32)),$O32,0)</f>
        <v>50.0133333333333</v>
      </c>
      <c r="Y32" s="17" t="n">
        <f aca="false">IF(AND(Y$4&gt;=IF($L32="",1,$L32),Y$4&lt;=IF($M32="",12,$M32)),$O32,0)</f>
        <v>50.0133333333333</v>
      </c>
      <c r="Z32" s="17" t="n">
        <f aca="false">IF(AND(Z$4&gt;=IF($L32="",1,$L32),Z$4&lt;=IF($M32="",12,$M32)),$O32,0)</f>
        <v>50.0133333333333</v>
      </c>
      <c r="AA32" s="17" t="n">
        <f aca="false">IF(AND(AA$4&gt;=IF($L32="",1,$L32),AA$4&lt;=IF($M32="",12,$M32)),$O32,0)</f>
        <v>50.0133333333333</v>
      </c>
      <c r="AB32" s="18" t="n">
        <f aca="false">SUM(P32:AA32)</f>
        <v>600.16</v>
      </c>
    </row>
    <row r="33" customFormat="false" ht="15" hidden="false" customHeight="false" outlineLevel="0" collapsed="false">
      <c r="A33" s="16" t="s">
        <v>287</v>
      </c>
      <c r="B33" s="25" t="s">
        <v>62</v>
      </c>
      <c r="C33" s="43" t="s">
        <v>264</v>
      </c>
      <c r="D33" s="44" t="s">
        <v>265</v>
      </c>
      <c r="E33" s="45"/>
      <c r="F33" s="40"/>
      <c r="G33" s="46"/>
      <c r="H33" s="40" t="n">
        <v>41.58</v>
      </c>
      <c r="I33" s="26" t="s">
        <v>266</v>
      </c>
      <c r="J33" s="32"/>
      <c r="K33" s="27" t="n">
        <v>0</v>
      </c>
      <c r="L33" s="26" t="n">
        <v>1</v>
      </c>
      <c r="M33" s="26" t="n">
        <v>12</v>
      </c>
      <c r="N33" s="47" t="s">
        <v>267</v>
      </c>
      <c r="O33" s="18" t="n">
        <f aca="false">IF($N33="N",0,IF($A33="",0,(IF($J33&lt;&gt;"",$J33,IF($I33="BUDGET",IF($H33="",0,$H33),IF($G33="",0,$G33))))*(1+IF($K33="",0,$K33))))</f>
        <v>0</v>
      </c>
      <c r="P33" s="17" t="n">
        <f aca="false">IF(AND(P$4&gt;=IF($L33="",1,$L33),P$4&lt;=IF($M33="",12,$M33)),$O33,0)</f>
        <v>0</v>
      </c>
      <c r="Q33" s="17" t="n">
        <f aca="false">IF(AND(Q$4&gt;=IF($L33="",1,$L33),Q$4&lt;=IF($M33="",12,$M33)),$O33,0)</f>
        <v>0</v>
      </c>
      <c r="R33" s="17" t="n">
        <f aca="false">IF(AND(R$4&gt;=IF($L33="",1,$L33),R$4&lt;=IF($M33="",12,$M33)),$O33,0)</f>
        <v>0</v>
      </c>
      <c r="S33" s="17" t="n">
        <f aca="false">IF(AND(S$4&gt;=IF($L33="",1,$L33),S$4&lt;=IF($M33="",12,$M33)),$O33,0)</f>
        <v>0</v>
      </c>
      <c r="T33" s="17" t="n">
        <f aca="false">IF(AND(T$4&gt;=IF($L33="",1,$L33),T$4&lt;=IF($M33="",12,$M33)),$O33,0)</f>
        <v>0</v>
      </c>
      <c r="U33" s="17" t="n">
        <f aca="false">IF(AND(U$4&gt;=IF($L33="",1,$L33),U$4&lt;=IF($M33="",12,$M33)),$O33,0)</f>
        <v>0</v>
      </c>
      <c r="V33" s="17" t="n">
        <f aca="false">IF(AND(V$4&gt;=IF($L33="",1,$L33),V$4&lt;=IF($M33="",12,$M33)),$O33,0)</f>
        <v>0</v>
      </c>
      <c r="W33" s="17" t="n">
        <f aca="false">IF(AND(W$4&gt;=IF($L33="",1,$L33),W$4&lt;=IF($M33="",12,$M33)),$O33,0)</f>
        <v>0</v>
      </c>
      <c r="X33" s="17" t="n">
        <f aca="false">IF(AND(X$4&gt;=IF($L33="",1,$L33),X$4&lt;=IF($M33="",12,$M33)),$O33,0)</f>
        <v>0</v>
      </c>
      <c r="Y33" s="17" t="n">
        <f aca="false">IF(AND(Y$4&gt;=IF($L33="",1,$L33),Y$4&lt;=IF($M33="",12,$M33)),$O33,0)</f>
        <v>0</v>
      </c>
      <c r="Z33" s="17" t="n">
        <f aca="false">IF(AND(Z$4&gt;=IF($L33="",1,$L33),Z$4&lt;=IF($M33="",12,$M33)),$O33,0)</f>
        <v>0</v>
      </c>
      <c r="AA33" s="17" t="n">
        <f aca="false">IF(AND(AA$4&gt;=IF($L33="",1,$L33),AA$4&lt;=IF($M33="",12,$M33)),$O33,0)</f>
        <v>0</v>
      </c>
      <c r="AB33" s="18" t="n">
        <f aca="false">SUM(P33:AA33)</f>
        <v>0</v>
      </c>
    </row>
    <row r="34" customFormat="false" ht="15" hidden="false" customHeight="false" outlineLevel="0" collapsed="false">
      <c r="A34" s="16" t="s">
        <v>288</v>
      </c>
      <c r="B34" s="25" t="s">
        <v>62</v>
      </c>
      <c r="C34" s="43" t="s">
        <v>264</v>
      </c>
      <c r="D34" s="44" t="s">
        <v>265</v>
      </c>
      <c r="E34" s="45"/>
      <c r="F34" s="40"/>
      <c r="G34" s="46"/>
      <c r="H34" s="40" t="n">
        <v>29.95</v>
      </c>
      <c r="I34" s="26" t="s">
        <v>266</v>
      </c>
      <c r="J34" s="32"/>
      <c r="K34" s="27" t="n">
        <v>0</v>
      </c>
      <c r="L34" s="26" t="n">
        <v>1</v>
      </c>
      <c r="M34" s="26" t="n">
        <v>12</v>
      </c>
      <c r="N34" s="47" t="s">
        <v>267</v>
      </c>
      <c r="O34" s="18" t="n">
        <f aca="false">IF($N34="N",0,IF($A34="",0,(IF($J34&lt;&gt;"",$J34,IF($I34="BUDGET",IF($H34="",0,$H34),IF($G34="",0,$G34))))*(1+IF($K34="",0,$K34))))</f>
        <v>0</v>
      </c>
      <c r="P34" s="17" t="n">
        <f aca="false">IF(AND(P$4&gt;=IF($L34="",1,$L34),P$4&lt;=IF($M34="",12,$M34)),$O34,0)</f>
        <v>0</v>
      </c>
      <c r="Q34" s="17" t="n">
        <f aca="false">IF(AND(Q$4&gt;=IF($L34="",1,$L34),Q$4&lt;=IF($M34="",12,$M34)),$O34,0)</f>
        <v>0</v>
      </c>
      <c r="R34" s="17" t="n">
        <f aca="false">IF(AND(R$4&gt;=IF($L34="",1,$L34),R$4&lt;=IF($M34="",12,$M34)),$O34,0)</f>
        <v>0</v>
      </c>
      <c r="S34" s="17" t="n">
        <f aca="false">IF(AND(S$4&gt;=IF($L34="",1,$L34),S$4&lt;=IF($M34="",12,$M34)),$O34,0)</f>
        <v>0</v>
      </c>
      <c r="T34" s="17" t="n">
        <f aca="false">IF(AND(T$4&gt;=IF($L34="",1,$L34),T$4&lt;=IF($M34="",12,$M34)),$O34,0)</f>
        <v>0</v>
      </c>
      <c r="U34" s="17" t="n">
        <f aca="false">IF(AND(U$4&gt;=IF($L34="",1,$L34),U$4&lt;=IF($M34="",12,$M34)),$O34,0)</f>
        <v>0</v>
      </c>
      <c r="V34" s="17" t="n">
        <f aca="false">IF(AND(V$4&gt;=IF($L34="",1,$L34),V$4&lt;=IF($M34="",12,$M34)),$O34,0)</f>
        <v>0</v>
      </c>
      <c r="W34" s="17" t="n">
        <f aca="false">IF(AND(W$4&gt;=IF($L34="",1,$L34),W$4&lt;=IF($M34="",12,$M34)),$O34,0)</f>
        <v>0</v>
      </c>
      <c r="X34" s="17" t="n">
        <f aca="false">IF(AND(X$4&gt;=IF($L34="",1,$L34),X$4&lt;=IF($M34="",12,$M34)),$O34,0)</f>
        <v>0</v>
      </c>
      <c r="Y34" s="17" t="n">
        <f aca="false">IF(AND(Y$4&gt;=IF($L34="",1,$L34),Y$4&lt;=IF($M34="",12,$M34)),$O34,0)</f>
        <v>0</v>
      </c>
      <c r="Z34" s="17" t="n">
        <f aca="false">IF(AND(Z$4&gt;=IF($L34="",1,$L34),Z$4&lt;=IF($M34="",12,$M34)),$O34,0)</f>
        <v>0</v>
      </c>
      <c r="AA34" s="17" t="n">
        <f aca="false">IF(AND(AA$4&gt;=IF($L34="",1,$L34),AA$4&lt;=IF($M34="",12,$M34)),$O34,0)</f>
        <v>0</v>
      </c>
      <c r="AB34" s="18" t="n">
        <f aca="false">SUM(P34:AA34)</f>
        <v>0</v>
      </c>
    </row>
    <row r="35" customFormat="false" ht="15" hidden="false" customHeight="false" outlineLevel="0" collapsed="false">
      <c r="A35" s="16" t="s">
        <v>289</v>
      </c>
      <c r="B35" s="25" t="s">
        <v>62</v>
      </c>
      <c r="C35" s="43" t="s">
        <v>264</v>
      </c>
      <c r="D35" s="44" t="s">
        <v>265</v>
      </c>
      <c r="E35" s="45"/>
      <c r="F35" s="40"/>
      <c r="G35" s="46"/>
      <c r="H35" s="40" t="n">
        <v>25.35</v>
      </c>
      <c r="I35" s="26" t="s">
        <v>266</v>
      </c>
      <c r="J35" s="32"/>
      <c r="K35" s="27" t="n">
        <v>0</v>
      </c>
      <c r="L35" s="26" t="n">
        <v>1</v>
      </c>
      <c r="M35" s="26" t="n">
        <v>12</v>
      </c>
      <c r="N35" s="47" t="s">
        <v>267</v>
      </c>
      <c r="O35" s="18" t="n">
        <f aca="false">IF($N35="N",0,IF($A35="",0,(IF($J35&lt;&gt;"",$J35,IF($I35="BUDGET",IF($H35="",0,$H35),IF($G35="",0,$G35))))*(1+IF($K35="",0,$K35))))</f>
        <v>0</v>
      </c>
      <c r="P35" s="17" t="n">
        <f aca="false">IF(AND(P$4&gt;=IF($L35="",1,$L35),P$4&lt;=IF($M35="",12,$M35)),$O35,0)</f>
        <v>0</v>
      </c>
      <c r="Q35" s="17" t="n">
        <f aca="false">IF(AND(Q$4&gt;=IF($L35="",1,$L35),Q$4&lt;=IF($M35="",12,$M35)),$O35,0)</f>
        <v>0</v>
      </c>
      <c r="R35" s="17" t="n">
        <f aca="false">IF(AND(R$4&gt;=IF($L35="",1,$L35),R$4&lt;=IF($M35="",12,$M35)),$O35,0)</f>
        <v>0</v>
      </c>
      <c r="S35" s="17" t="n">
        <f aca="false">IF(AND(S$4&gt;=IF($L35="",1,$L35),S$4&lt;=IF($M35="",12,$M35)),$O35,0)</f>
        <v>0</v>
      </c>
      <c r="T35" s="17" t="n">
        <f aca="false">IF(AND(T$4&gt;=IF($L35="",1,$L35),T$4&lt;=IF($M35="",12,$M35)),$O35,0)</f>
        <v>0</v>
      </c>
      <c r="U35" s="17" t="n">
        <f aca="false">IF(AND(U$4&gt;=IF($L35="",1,$L35),U$4&lt;=IF($M35="",12,$M35)),$O35,0)</f>
        <v>0</v>
      </c>
      <c r="V35" s="17" t="n">
        <f aca="false">IF(AND(V$4&gt;=IF($L35="",1,$L35),V$4&lt;=IF($M35="",12,$M35)),$O35,0)</f>
        <v>0</v>
      </c>
      <c r="W35" s="17" t="n">
        <f aca="false">IF(AND(W$4&gt;=IF($L35="",1,$L35),W$4&lt;=IF($M35="",12,$M35)),$O35,0)</f>
        <v>0</v>
      </c>
      <c r="X35" s="17" t="n">
        <f aca="false">IF(AND(X$4&gt;=IF($L35="",1,$L35),X$4&lt;=IF($M35="",12,$M35)),$O35,0)</f>
        <v>0</v>
      </c>
      <c r="Y35" s="17" t="n">
        <f aca="false">IF(AND(Y$4&gt;=IF($L35="",1,$L35),Y$4&lt;=IF($M35="",12,$M35)),$O35,0)</f>
        <v>0</v>
      </c>
      <c r="Z35" s="17" t="n">
        <f aca="false">IF(AND(Z$4&gt;=IF($L35="",1,$L35),Z$4&lt;=IF($M35="",12,$M35)),$O35,0)</f>
        <v>0</v>
      </c>
      <c r="AA35" s="17" t="n">
        <f aca="false">IF(AND(AA$4&gt;=IF($L35="",1,$L35),AA$4&lt;=IF($M35="",12,$M35)),$O35,0)</f>
        <v>0</v>
      </c>
      <c r="AB35" s="18" t="n">
        <f aca="false">SUM(P35:AA35)</f>
        <v>0</v>
      </c>
    </row>
    <row r="36" customFormat="false" ht="15" hidden="false" customHeight="false" outlineLevel="0" collapsed="false">
      <c r="A36" s="42" t="s">
        <v>290</v>
      </c>
      <c r="B36" s="25" t="s">
        <v>62</v>
      </c>
      <c r="C36" s="43" t="s">
        <v>252</v>
      </c>
      <c r="D36" s="51" t="s">
        <v>291</v>
      </c>
      <c r="E36" s="45" t="n">
        <v>1</v>
      </c>
      <c r="F36" s="40"/>
      <c r="G36" s="46" t="n">
        <f aca="false">IFERROR(IF($F36&gt;0,MAX(0,INDEX('XERO ACTUALS'!$T$5:$T$132,MATCH($A36,'XERO ACTUALS'!$A$5:$A$132,0))-$F36),INDEX('XERO ACTUALS'!$T$5:$T$132,MATCH($A36,'XERO ACTUALS'!$A$5:$A$132,0)))*IF($E36="",1,$E36),"")</f>
        <v>18.5140802875974</v>
      </c>
      <c r="H36" s="40" t="n">
        <v>26.38</v>
      </c>
      <c r="I36" s="26" t="s">
        <v>254</v>
      </c>
      <c r="J36" s="32"/>
      <c r="K36" s="27" t="n">
        <v>0</v>
      </c>
      <c r="L36" s="26" t="n">
        <v>1</v>
      </c>
      <c r="M36" s="26" t="n">
        <v>12</v>
      </c>
      <c r="N36" s="47" t="s">
        <v>255</v>
      </c>
      <c r="O36" s="18" t="n">
        <f aca="false">IF($N36="N",0,IF($A36="",0,(IF($J36&lt;&gt;"",$J36,IF($I36="BUDGET",IF($H36="",0,$H36),IF($G36="",0,$G36))))*(1+IF($K36="",0,$K36))))</f>
        <v>18.5140802875974</v>
      </c>
      <c r="P36" s="17" t="n">
        <f aca="false">IF(AND(P$4&gt;=IF($L36="",1,$L36),P$4&lt;=IF($M36="",12,$M36)),$O36,0)</f>
        <v>18.5140802875974</v>
      </c>
      <c r="Q36" s="17" t="n">
        <f aca="false">IF(AND(Q$4&gt;=IF($L36="",1,$L36),Q$4&lt;=IF($M36="",12,$M36)),$O36,0)</f>
        <v>18.5140802875974</v>
      </c>
      <c r="R36" s="17" t="n">
        <f aca="false">IF(AND(R$4&gt;=IF($L36="",1,$L36),R$4&lt;=IF($M36="",12,$M36)),$O36,0)</f>
        <v>18.5140802875974</v>
      </c>
      <c r="S36" s="17" t="n">
        <f aca="false">IF(AND(S$4&gt;=IF($L36="",1,$L36),S$4&lt;=IF($M36="",12,$M36)),$O36,0)</f>
        <v>18.5140802875974</v>
      </c>
      <c r="T36" s="17" t="n">
        <f aca="false">IF(AND(T$4&gt;=IF($L36="",1,$L36),T$4&lt;=IF($M36="",12,$M36)),$O36,0)</f>
        <v>18.5140802875974</v>
      </c>
      <c r="U36" s="17" t="n">
        <f aca="false">IF(AND(U$4&gt;=IF($L36="",1,$L36),U$4&lt;=IF($M36="",12,$M36)),$O36,0)</f>
        <v>18.5140802875974</v>
      </c>
      <c r="V36" s="17" t="n">
        <f aca="false">IF(AND(V$4&gt;=IF($L36="",1,$L36),V$4&lt;=IF($M36="",12,$M36)),$O36,0)</f>
        <v>18.5140802875974</v>
      </c>
      <c r="W36" s="17" t="n">
        <f aca="false">IF(AND(W$4&gt;=IF($L36="",1,$L36),W$4&lt;=IF($M36="",12,$M36)),$O36,0)</f>
        <v>18.5140802875974</v>
      </c>
      <c r="X36" s="17" t="n">
        <f aca="false">IF(AND(X$4&gt;=IF($L36="",1,$L36),X$4&lt;=IF($M36="",12,$M36)),$O36,0)</f>
        <v>18.5140802875974</v>
      </c>
      <c r="Y36" s="17" t="n">
        <f aca="false">IF(AND(Y$4&gt;=IF($L36="",1,$L36),Y$4&lt;=IF($M36="",12,$M36)),$O36,0)</f>
        <v>18.5140802875974</v>
      </c>
      <c r="Z36" s="17" t="n">
        <f aca="false">IF(AND(Z$4&gt;=IF($L36="",1,$L36),Z$4&lt;=IF($M36="",12,$M36)),$O36,0)</f>
        <v>18.5140802875974</v>
      </c>
      <c r="AA36" s="17" t="n">
        <f aca="false">IF(AND(AA$4&gt;=IF($L36="",1,$L36),AA$4&lt;=IF($M36="",12,$M36)),$O36,0)</f>
        <v>18.5140802875974</v>
      </c>
      <c r="AB36" s="18" t="n">
        <f aca="false">SUM(P36:AA36)</f>
        <v>222.168963451168</v>
      </c>
    </row>
    <row r="37" customFormat="false" ht="15" hidden="false" customHeight="false" outlineLevel="0" collapsed="false">
      <c r="A37" s="16" t="s">
        <v>292</v>
      </c>
      <c r="B37" s="25" t="s">
        <v>62</v>
      </c>
      <c r="C37" s="43" t="s">
        <v>264</v>
      </c>
      <c r="D37" s="44" t="s">
        <v>265</v>
      </c>
      <c r="E37" s="45"/>
      <c r="F37" s="40"/>
      <c r="G37" s="46"/>
      <c r="H37" s="40" t="n">
        <v>16.58</v>
      </c>
      <c r="I37" s="26" t="s">
        <v>266</v>
      </c>
      <c r="J37" s="32"/>
      <c r="K37" s="27" t="n">
        <v>0</v>
      </c>
      <c r="L37" s="26" t="n">
        <v>1</v>
      </c>
      <c r="M37" s="26" t="n">
        <v>12</v>
      </c>
      <c r="N37" s="47" t="s">
        <v>267</v>
      </c>
      <c r="O37" s="18" t="n">
        <f aca="false">IF($N37="N",0,IF($A37="",0,(IF($J37&lt;&gt;"",$J37,IF($I37="BUDGET",IF($H37="",0,$H37),IF($G37="",0,$G37))))*(1+IF($K37="",0,$K37))))</f>
        <v>0</v>
      </c>
      <c r="P37" s="17" t="n">
        <f aca="false">IF(AND(P$4&gt;=IF($L37="",1,$L37),P$4&lt;=IF($M37="",12,$M37)),$O37,0)</f>
        <v>0</v>
      </c>
      <c r="Q37" s="17" t="n">
        <f aca="false">IF(AND(Q$4&gt;=IF($L37="",1,$L37),Q$4&lt;=IF($M37="",12,$M37)),$O37,0)</f>
        <v>0</v>
      </c>
      <c r="R37" s="17" t="n">
        <f aca="false">IF(AND(R$4&gt;=IF($L37="",1,$L37),R$4&lt;=IF($M37="",12,$M37)),$O37,0)</f>
        <v>0</v>
      </c>
      <c r="S37" s="17" t="n">
        <f aca="false">IF(AND(S$4&gt;=IF($L37="",1,$L37),S$4&lt;=IF($M37="",12,$M37)),$O37,0)</f>
        <v>0</v>
      </c>
      <c r="T37" s="17" t="n">
        <f aca="false">IF(AND(T$4&gt;=IF($L37="",1,$L37),T$4&lt;=IF($M37="",12,$M37)),$O37,0)</f>
        <v>0</v>
      </c>
      <c r="U37" s="17" t="n">
        <f aca="false">IF(AND(U$4&gt;=IF($L37="",1,$L37),U$4&lt;=IF($M37="",12,$M37)),$O37,0)</f>
        <v>0</v>
      </c>
      <c r="V37" s="17" t="n">
        <f aca="false">IF(AND(V$4&gt;=IF($L37="",1,$L37),V$4&lt;=IF($M37="",12,$M37)),$O37,0)</f>
        <v>0</v>
      </c>
      <c r="W37" s="17" t="n">
        <f aca="false">IF(AND(W$4&gt;=IF($L37="",1,$L37),W$4&lt;=IF($M37="",12,$M37)),$O37,0)</f>
        <v>0</v>
      </c>
      <c r="X37" s="17" t="n">
        <f aca="false">IF(AND(X$4&gt;=IF($L37="",1,$L37),X$4&lt;=IF($M37="",12,$M37)),$O37,0)</f>
        <v>0</v>
      </c>
      <c r="Y37" s="17" t="n">
        <f aca="false">IF(AND(Y$4&gt;=IF($L37="",1,$L37),Y$4&lt;=IF($M37="",12,$M37)),$O37,0)</f>
        <v>0</v>
      </c>
      <c r="Z37" s="17" t="n">
        <f aca="false">IF(AND(Z$4&gt;=IF($L37="",1,$L37),Z$4&lt;=IF($M37="",12,$M37)),$O37,0)</f>
        <v>0</v>
      </c>
      <c r="AA37" s="17" t="n">
        <f aca="false">IF(AND(AA$4&gt;=IF($L37="",1,$L37),AA$4&lt;=IF($M37="",12,$M37)),$O37,0)</f>
        <v>0</v>
      </c>
      <c r="AB37" s="18" t="n">
        <f aca="false">SUM(P37:AA37)</f>
        <v>0</v>
      </c>
    </row>
    <row r="38" customFormat="false" ht="15" hidden="false" customHeight="false" outlineLevel="0" collapsed="false">
      <c r="A38" s="42" t="s">
        <v>293</v>
      </c>
      <c r="B38" s="25" t="s">
        <v>62</v>
      </c>
      <c r="C38" s="43" t="s">
        <v>252</v>
      </c>
      <c r="D38" s="44" t="s">
        <v>253</v>
      </c>
      <c r="E38" s="45" t="n">
        <v>1</v>
      </c>
      <c r="F38" s="40"/>
      <c r="G38" s="46" t="n">
        <f aca="false">IFERROR(IF($F38&gt;0,MAX(0,INDEX('XERO ACTUALS'!$T$5:$T$132,MATCH($A38,'XERO ACTUALS'!$A$5:$A$132,0))-$F38),INDEX('XERO ACTUALS'!$T$5:$T$132,MATCH($A38,'XERO ACTUALS'!$A$5:$A$132,0)))*IF($E38="",1,$E38),"")</f>
        <v>15</v>
      </c>
      <c r="H38" s="40" t="n">
        <v>15</v>
      </c>
      <c r="I38" s="26" t="s">
        <v>254</v>
      </c>
      <c r="J38" s="32"/>
      <c r="K38" s="27" t="n">
        <v>0</v>
      </c>
      <c r="L38" s="26" t="n">
        <v>1</v>
      </c>
      <c r="M38" s="26" t="n">
        <v>12</v>
      </c>
      <c r="N38" s="47" t="s">
        <v>255</v>
      </c>
      <c r="O38" s="18" t="n">
        <f aca="false">IF($N38="N",0,IF($A38="",0,(IF($J38&lt;&gt;"",$J38,IF($I38="BUDGET",IF($H38="",0,$H38),IF($G38="",0,$G38))))*(1+IF($K38="",0,$K38))))</f>
        <v>15</v>
      </c>
      <c r="P38" s="17" t="n">
        <f aca="false">IF(AND(P$4&gt;=IF($L38="",1,$L38),P$4&lt;=IF($M38="",12,$M38)),$O38,0)</f>
        <v>15</v>
      </c>
      <c r="Q38" s="17" t="n">
        <f aca="false">IF(AND(Q$4&gt;=IF($L38="",1,$L38),Q$4&lt;=IF($M38="",12,$M38)),$O38,0)</f>
        <v>15</v>
      </c>
      <c r="R38" s="17" t="n">
        <f aca="false">IF(AND(R$4&gt;=IF($L38="",1,$L38),R$4&lt;=IF($M38="",12,$M38)),$O38,0)</f>
        <v>15</v>
      </c>
      <c r="S38" s="17" t="n">
        <f aca="false">IF(AND(S$4&gt;=IF($L38="",1,$L38),S$4&lt;=IF($M38="",12,$M38)),$O38,0)</f>
        <v>15</v>
      </c>
      <c r="T38" s="17" t="n">
        <f aca="false">IF(AND(T$4&gt;=IF($L38="",1,$L38),T$4&lt;=IF($M38="",12,$M38)),$O38,0)</f>
        <v>15</v>
      </c>
      <c r="U38" s="17" t="n">
        <f aca="false">IF(AND(U$4&gt;=IF($L38="",1,$L38),U$4&lt;=IF($M38="",12,$M38)),$O38,0)</f>
        <v>15</v>
      </c>
      <c r="V38" s="17" t="n">
        <f aca="false">IF(AND(V$4&gt;=IF($L38="",1,$L38),V$4&lt;=IF($M38="",12,$M38)),$O38,0)</f>
        <v>15</v>
      </c>
      <c r="W38" s="17" t="n">
        <f aca="false">IF(AND(W$4&gt;=IF($L38="",1,$L38),W$4&lt;=IF($M38="",12,$M38)),$O38,0)</f>
        <v>15</v>
      </c>
      <c r="X38" s="17" t="n">
        <f aca="false">IF(AND(X$4&gt;=IF($L38="",1,$L38),X$4&lt;=IF($M38="",12,$M38)),$O38,0)</f>
        <v>15</v>
      </c>
      <c r="Y38" s="17" t="n">
        <f aca="false">IF(AND(Y$4&gt;=IF($L38="",1,$L38),Y$4&lt;=IF($M38="",12,$M38)),$O38,0)</f>
        <v>15</v>
      </c>
      <c r="Z38" s="17" t="n">
        <f aca="false">IF(AND(Z$4&gt;=IF($L38="",1,$L38),Z$4&lt;=IF($M38="",12,$M38)),$O38,0)</f>
        <v>15</v>
      </c>
      <c r="AA38" s="17" t="n">
        <f aca="false">IF(AND(AA$4&gt;=IF($L38="",1,$L38),AA$4&lt;=IF($M38="",12,$M38)),$O38,0)</f>
        <v>15</v>
      </c>
      <c r="AB38" s="18" t="n">
        <f aca="false">SUM(P38:AA38)</f>
        <v>180</v>
      </c>
    </row>
    <row r="39" customFormat="false" ht="15" hidden="false" customHeight="false" outlineLevel="0" collapsed="false">
      <c r="A39" s="16" t="s">
        <v>294</v>
      </c>
      <c r="B39" s="25" t="s">
        <v>62</v>
      </c>
      <c r="C39" s="43" t="s">
        <v>264</v>
      </c>
      <c r="D39" s="44" t="s">
        <v>265</v>
      </c>
      <c r="E39" s="45"/>
      <c r="F39" s="40"/>
      <c r="G39" s="46"/>
      <c r="H39" s="40" t="n">
        <v>10</v>
      </c>
      <c r="I39" s="26" t="s">
        <v>266</v>
      </c>
      <c r="J39" s="32"/>
      <c r="K39" s="27" t="n">
        <v>0</v>
      </c>
      <c r="L39" s="26" t="n">
        <v>1</v>
      </c>
      <c r="M39" s="26" t="n">
        <v>12</v>
      </c>
      <c r="N39" s="47" t="s">
        <v>267</v>
      </c>
      <c r="O39" s="18" t="n">
        <f aca="false">IF($N39="N",0,IF($A39="",0,(IF($J39&lt;&gt;"",$J39,IF($I39="BUDGET",IF($H39="",0,$H39),IF($G39="",0,$G39))))*(1+IF($K39="",0,$K39))))</f>
        <v>0</v>
      </c>
      <c r="P39" s="17" t="n">
        <f aca="false">IF(AND(P$4&gt;=IF($L39="",1,$L39),P$4&lt;=IF($M39="",12,$M39)),$O39,0)</f>
        <v>0</v>
      </c>
      <c r="Q39" s="17" t="n">
        <f aca="false">IF(AND(Q$4&gt;=IF($L39="",1,$L39),Q$4&lt;=IF($M39="",12,$M39)),$O39,0)</f>
        <v>0</v>
      </c>
      <c r="R39" s="17" t="n">
        <f aca="false">IF(AND(R$4&gt;=IF($L39="",1,$L39),R$4&lt;=IF($M39="",12,$M39)),$O39,0)</f>
        <v>0</v>
      </c>
      <c r="S39" s="17" t="n">
        <f aca="false">IF(AND(S$4&gt;=IF($L39="",1,$L39),S$4&lt;=IF($M39="",12,$M39)),$O39,0)</f>
        <v>0</v>
      </c>
      <c r="T39" s="17" t="n">
        <f aca="false">IF(AND(T$4&gt;=IF($L39="",1,$L39),T$4&lt;=IF($M39="",12,$M39)),$O39,0)</f>
        <v>0</v>
      </c>
      <c r="U39" s="17" t="n">
        <f aca="false">IF(AND(U$4&gt;=IF($L39="",1,$L39),U$4&lt;=IF($M39="",12,$M39)),$O39,0)</f>
        <v>0</v>
      </c>
      <c r="V39" s="17" t="n">
        <f aca="false">IF(AND(V$4&gt;=IF($L39="",1,$L39),V$4&lt;=IF($M39="",12,$M39)),$O39,0)</f>
        <v>0</v>
      </c>
      <c r="W39" s="17" t="n">
        <f aca="false">IF(AND(W$4&gt;=IF($L39="",1,$L39),W$4&lt;=IF($M39="",12,$M39)),$O39,0)</f>
        <v>0</v>
      </c>
      <c r="X39" s="17" t="n">
        <f aca="false">IF(AND(X$4&gt;=IF($L39="",1,$L39),X$4&lt;=IF($M39="",12,$M39)),$O39,0)</f>
        <v>0</v>
      </c>
      <c r="Y39" s="17" t="n">
        <f aca="false">IF(AND(Y$4&gt;=IF($L39="",1,$L39),Y$4&lt;=IF($M39="",12,$M39)),$O39,0)</f>
        <v>0</v>
      </c>
      <c r="Z39" s="17" t="n">
        <f aca="false">IF(AND(Z$4&gt;=IF($L39="",1,$L39),Z$4&lt;=IF($M39="",12,$M39)),$O39,0)</f>
        <v>0</v>
      </c>
      <c r="AA39" s="17" t="n">
        <f aca="false">IF(AND(AA$4&gt;=IF($L39="",1,$L39),AA$4&lt;=IF($M39="",12,$M39)),$O39,0)</f>
        <v>0</v>
      </c>
      <c r="AB39" s="18" t="n">
        <f aca="false">SUM(P39:AA39)</f>
        <v>0</v>
      </c>
    </row>
    <row r="40" customFormat="false" ht="15" hidden="false" customHeight="false" outlineLevel="0" collapsed="false">
      <c r="A40" s="16" t="s">
        <v>295</v>
      </c>
      <c r="B40" s="25" t="s">
        <v>62</v>
      </c>
      <c r="C40" s="43" t="s">
        <v>264</v>
      </c>
      <c r="D40" s="44" t="s">
        <v>265</v>
      </c>
      <c r="E40" s="45"/>
      <c r="F40" s="40"/>
      <c r="G40" s="46"/>
      <c r="H40" s="40" t="n">
        <v>4.08</v>
      </c>
      <c r="I40" s="26" t="s">
        <v>266</v>
      </c>
      <c r="J40" s="32"/>
      <c r="K40" s="27" t="n">
        <v>0</v>
      </c>
      <c r="L40" s="26" t="n">
        <v>1</v>
      </c>
      <c r="M40" s="26" t="n">
        <v>12</v>
      </c>
      <c r="N40" s="47" t="s">
        <v>267</v>
      </c>
      <c r="O40" s="18" t="n">
        <f aca="false">IF($N40="N",0,IF($A40="",0,(IF($J40&lt;&gt;"",$J40,IF($I40="BUDGET",IF($H40="",0,$H40),IF($G40="",0,$G40))))*(1+IF($K40="",0,$K40))))</f>
        <v>0</v>
      </c>
      <c r="P40" s="17" t="n">
        <f aca="false">IF(AND(P$4&gt;=IF($L40="",1,$L40),P$4&lt;=IF($M40="",12,$M40)),$O40,0)</f>
        <v>0</v>
      </c>
      <c r="Q40" s="17" t="n">
        <f aca="false">IF(AND(Q$4&gt;=IF($L40="",1,$L40),Q$4&lt;=IF($M40="",12,$M40)),$O40,0)</f>
        <v>0</v>
      </c>
      <c r="R40" s="17" t="n">
        <f aca="false">IF(AND(R$4&gt;=IF($L40="",1,$L40),R$4&lt;=IF($M40="",12,$M40)),$O40,0)</f>
        <v>0</v>
      </c>
      <c r="S40" s="17" t="n">
        <f aca="false">IF(AND(S$4&gt;=IF($L40="",1,$L40),S$4&lt;=IF($M40="",12,$M40)),$O40,0)</f>
        <v>0</v>
      </c>
      <c r="T40" s="17" t="n">
        <f aca="false">IF(AND(T$4&gt;=IF($L40="",1,$L40),T$4&lt;=IF($M40="",12,$M40)),$O40,0)</f>
        <v>0</v>
      </c>
      <c r="U40" s="17" t="n">
        <f aca="false">IF(AND(U$4&gt;=IF($L40="",1,$L40),U$4&lt;=IF($M40="",12,$M40)),$O40,0)</f>
        <v>0</v>
      </c>
      <c r="V40" s="17" t="n">
        <f aca="false">IF(AND(V$4&gt;=IF($L40="",1,$L40),V$4&lt;=IF($M40="",12,$M40)),$O40,0)</f>
        <v>0</v>
      </c>
      <c r="W40" s="17" t="n">
        <f aca="false">IF(AND(W$4&gt;=IF($L40="",1,$L40),W$4&lt;=IF($M40="",12,$M40)),$O40,0)</f>
        <v>0</v>
      </c>
      <c r="X40" s="17" t="n">
        <f aca="false">IF(AND(X$4&gt;=IF($L40="",1,$L40),X$4&lt;=IF($M40="",12,$M40)),$O40,0)</f>
        <v>0</v>
      </c>
      <c r="Y40" s="17" t="n">
        <f aca="false">IF(AND(Y$4&gt;=IF($L40="",1,$L40),Y$4&lt;=IF($M40="",12,$M40)),$O40,0)</f>
        <v>0</v>
      </c>
      <c r="Z40" s="17" t="n">
        <f aca="false">IF(AND(Z$4&gt;=IF($L40="",1,$L40),Z$4&lt;=IF($M40="",12,$M40)),$O40,0)</f>
        <v>0</v>
      </c>
      <c r="AA40" s="17" t="n">
        <f aca="false">IF(AND(AA$4&gt;=IF($L40="",1,$L40),AA$4&lt;=IF($M40="",12,$M40)),$O40,0)</f>
        <v>0</v>
      </c>
      <c r="AB40" s="18" t="n">
        <f aca="false">SUM(P40:AA40)</f>
        <v>0</v>
      </c>
    </row>
    <row r="41" customFormat="false" ht="15" hidden="false" customHeight="false" outlineLevel="0" collapsed="false">
      <c r="A41" s="42" t="s">
        <v>296</v>
      </c>
      <c r="B41" s="25" t="s">
        <v>62</v>
      </c>
      <c r="C41" s="43" t="s">
        <v>260</v>
      </c>
      <c r="D41" s="52" t="s">
        <v>297</v>
      </c>
      <c r="E41" s="45" t="n">
        <v>1</v>
      </c>
      <c r="F41" s="40"/>
      <c r="G41" s="46" t="n">
        <f aca="false">IFERROR(IF($F41&gt;0,MAX(0,INDEX('XERO ACTUALS'!$T$5:$T$132,MATCH($A41,'XERO ACTUALS'!$A$5:$A$132,0))-$F41),INDEX('XERO ACTUALS'!$T$5:$T$132,MATCH($A41,'XERO ACTUALS'!$A$5:$A$132,0)))*IF($E41="",1,$E41),"")</f>
        <v>0</v>
      </c>
      <c r="H41" s="40"/>
      <c r="I41" s="26" t="s">
        <v>254</v>
      </c>
      <c r="J41" s="32"/>
      <c r="K41" s="27" t="n">
        <v>0</v>
      </c>
      <c r="L41" s="26" t="n">
        <v>1</v>
      </c>
      <c r="M41" s="26" t="n">
        <v>12</v>
      </c>
      <c r="N41" s="47" t="s">
        <v>267</v>
      </c>
      <c r="O41" s="18" t="n">
        <f aca="false">IF($N41="N",0,IF($A41="",0,(IF($J41&lt;&gt;"",$J41,IF($I41="BUDGET",IF($H41="",0,$H41),IF($G41="",0,$G41))))*(1+IF($K41="",0,$K41))))</f>
        <v>0</v>
      </c>
      <c r="P41" s="17" t="n">
        <f aca="false">IF(AND(P$4&gt;=IF($L41="",1,$L41),P$4&lt;=IF($M41="",12,$M41)),$O41,0)</f>
        <v>0</v>
      </c>
      <c r="Q41" s="17" t="n">
        <f aca="false">IF(AND(Q$4&gt;=IF($L41="",1,$L41),Q$4&lt;=IF($M41="",12,$M41)),$O41,0)</f>
        <v>0</v>
      </c>
      <c r="R41" s="17" t="n">
        <f aca="false">IF(AND(R$4&gt;=IF($L41="",1,$L41),R$4&lt;=IF($M41="",12,$M41)),$O41,0)</f>
        <v>0</v>
      </c>
      <c r="S41" s="17" t="n">
        <f aca="false">IF(AND(S$4&gt;=IF($L41="",1,$L41),S$4&lt;=IF($M41="",12,$M41)),$O41,0)</f>
        <v>0</v>
      </c>
      <c r="T41" s="17" t="n">
        <f aca="false">IF(AND(T$4&gt;=IF($L41="",1,$L41),T$4&lt;=IF($M41="",12,$M41)),$O41,0)</f>
        <v>0</v>
      </c>
      <c r="U41" s="17" t="n">
        <f aca="false">IF(AND(U$4&gt;=IF($L41="",1,$L41),U$4&lt;=IF($M41="",12,$M41)),$O41,0)</f>
        <v>0</v>
      </c>
      <c r="V41" s="17" t="n">
        <f aca="false">IF(AND(V$4&gt;=IF($L41="",1,$L41),V$4&lt;=IF($M41="",12,$M41)),$O41,0)</f>
        <v>0</v>
      </c>
      <c r="W41" s="17" t="n">
        <f aca="false">IF(AND(W$4&gt;=IF($L41="",1,$L41),W$4&lt;=IF($M41="",12,$M41)),$O41,0)</f>
        <v>0</v>
      </c>
      <c r="X41" s="17" t="n">
        <f aca="false">IF(AND(X$4&gt;=IF($L41="",1,$L41),X$4&lt;=IF($M41="",12,$M41)),$O41,0)</f>
        <v>0</v>
      </c>
      <c r="Y41" s="17" t="n">
        <f aca="false">IF(AND(Y$4&gt;=IF($L41="",1,$L41),Y$4&lt;=IF($M41="",12,$M41)),$O41,0)</f>
        <v>0</v>
      </c>
      <c r="Z41" s="17" t="n">
        <f aca="false">IF(AND(Z$4&gt;=IF($L41="",1,$L41),Z$4&lt;=IF($M41="",12,$M41)),$O41,0)</f>
        <v>0</v>
      </c>
      <c r="AA41" s="17" t="n">
        <f aca="false">IF(AND(AA$4&gt;=IF($L41="",1,$L41),AA$4&lt;=IF($M41="",12,$M41)),$O41,0)</f>
        <v>0</v>
      </c>
      <c r="AB41" s="18" t="n">
        <f aca="false">SUM(P41:AA41)</f>
        <v>0</v>
      </c>
    </row>
    <row r="42" customFormat="false" ht="15" hidden="false" customHeight="false" outlineLevel="0" collapsed="false">
      <c r="A42" s="16" t="s">
        <v>298</v>
      </c>
      <c r="B42" s="25" t="s">
        <v>62</v>
      </c>
      <c r="C42" s="43" t="s">
        <v>264</v>
      </c>
      <c r="D42" s="44" t="s">
        <v>265</v>
      </c>
      <c r="E42" s="45"/>
      <c r="F42" s="40"/>
      <c r="G42" s="46"/>
      <c r="H42" s="40" t="n">
        <v>0</v>
      </c>
      <c r="I42" s="26" t="s">
        <v>266</v>
      </c>
      <c r="J42" s="32"/>
      <c r="K42" s="27" t="n">
        <v>0</v>
      </c>
      <c r="L42" s="26" t="n">
        <v>1</v>
      </c>
      <c r="M42" s="26" t="n">
        <v>12</v>
      </c>
      <c r="N42" s="47" t="s">
        <v>267</v>
      </c>
      <c r="O42" s="18" t="n">
        <f aca="false">IF($N42="N",0,IF($A42="",0,(IF($J42&lt;&gt;"",$J42,IF($I42="BUDGET",IF($H42="",0,$H42),IF($G42="",0,$G42))))*(1+IF($K42="",0,$K42))))</f>
        <v>0</v>
      </c>
      <c r="P42" s="17" t="n">
        <f aca="false">IF(AND(P$4&gt;=IF($L42="",1,$L42),P$4&lt;=IF($M42="",12,$M42)),$O42,0)</f>
        <v>0</v>
      </c>
      <c r="Q42" s="17" t="n">
        <f aca="false">IF(AND(Q$4&gt;=IF($L42="",1,$L42),Q$4&lt;=IF($M42="",12,$M42)),$O42,0)</f>
        <v>0</v>
      </c>
      <c r="R42" s="17" t="n">
        <f aca="false">IF(AND(R$4&gt;=IF($L42="",1,$L42),R$4&lt;=IF($M42="",12,$M42)),$O42,0)</f>
        <v>0</v>
      </c>
      <c r="S42" s="17" t="n">
        <f aca="false">IF(AND(S$4&gt;=IF($L42="",1,$L42),S$4&lt;=IF($M42="",12,$M42)),$O42,0)</f>
        <v>0</v>
      </c>
      <c r="T42" s="17" t="n">
        <f aca="false">IF(AND(T$4&gt;=IF($L42="",1,$L42),T$4&lt;=IF($M42="",12,$M42)),$O42,0)</f>
        <v>0</v>
      </c>
      <c r="U42" s="17" t="n">
        <f aca="false">IF(AND(U$4&gt;=IF($L42="",1,$L42),U$4&lt;=IF($M42="",12,$M42)),$O42,0)</f>
        <v>0</v>
      </c>
      <c r="V42" s="17" t="n">
        <f aca="false">IF(AND(V$4&gt;=IF($L42="",1,$L42),V$4&lt;=IF($M42="",12,$M42)),$O42,0)</f>
        <v>0</v>
      </c>
      <c r="W42" s="17" t="n">
        <f aca="false">IF(AND(W$4&gt;=IF($L42="",1,$L42),W$4&lt;=IF($M42="",12,$M42)),$O42,0)</f>
        <v>0</v>
      </c>
      <c r="X42" s="17" t="n">
        <f aca="false">IF(AND(X$4&gt;=IF($L42="",1,$L42),X$4&lt;=IF($M42="",12,$M42)),$O42,0)</f>
        <v>0</v>
      </c>
      <c r="Y42" s="17" t="n">
        <f aca="false">IF(AND(Y$4&gt;=IF($L42="",1,$L42),Y$4&lt;=IF($M42="",12,$M42)),$O42,0)</f>
        <v>0</v>
      </c>
      <c r="Z42" s="17" t="n">
        <f aca="false">IF(AND(Z$4&gt;=IF($L42="",1,$L42),Z$4&lt;=IF($M42="",12,$M42)),$O42,0)</f>
        <v>0</v>
      </c>
      <c r="AA42" s="17" t="n">
        <f aca="false">IF(AND(AA$4&gt;=IF($L42="",1,$L42),AA$4&lt;=IF($M42="",12,$M42)),$O42,0)</f>
        <v>0</v>
      </c>
      <c r="AB42" s="18" t="n">
        <f aca="false">SUM(P42:AA42)</f>
        <v>0</v>
      </c>
    </row>
    <row r="43" customFormat="false" ht="15" hidden="false" customHeight="false" outlineLevel="0" collapsed="false">
      <c r="A43" s="42" t="s">
        <v>299</v>
      </c>
      <c r="B43" s="25" t="s">
        <v>63</v>
      </c>
      <c r="C43" s="43" t="s">
        <v>252</v>
      </c>
      <c r="D43" s="44" t="s">
        <v>253</v>
      </c>
      <c r="E43" s="45" t="n">
        <v>1</v>
      </c>
      <c r="F43" s="40"/>
      <c r="G43" s="46" t="n">
        <f aca="false">IFERROR(IF($F43&gt;0,MAX(0,INDEX('XERO ACTUALS'!$T$5:$T$132,MATCH($A43,'XERO ACTUALS'!$A$5:$A$132,0))-$F43),INDEX('XERO ACTUALS'!$T$5:$T$132,MATCH($A43,'XERO ACTUALS'!$A$5:$A$132,0)))*IF($E43="",1,$E43),"")</f>
        <v>12888.15</v>
      </c>
      <c r="H43" s="40" t="n">
        <v>13000</v>
      </c>
      <c r="I43" s="26" t="s">
        <v>254</v>
      </c>
      <c r="J43" s="32"/>
      <c r="K43" s="27" t="n">
        <v>0</v>
      </c>
      <c r="L43" s="26" t="n">
        <v>1</v>
      </c>
      <c r="M43" s="26" t="n">
        <v>12</v>
      </c>
      <c r="N43" s="47" t="s">
        <v>255</v>
      </c>
      <c r="O43" s="18" t="n">
        <f aca="false">IF($N43="N",0,IF($A43="",0,(IF($J43&lt;&gt;"",$J43,IF($I43="BUDGET",IF($H43="",0,$H43),IF($G43="",0,$G43))))*(1+IF($K43="",0,$K43))))</f>
        <v>12888.15</v>
      </c>
      <c r="P43" s="17" t="n">
        <f aca="false">IF(AND(P$4&gt;=IF($L43="",1,$L43),P$4&lt;=IF($M43="",12,$M43)),$O43,0)</f>
        <v>12888.15</v>
      </c>
      <c r="Q43" s="17" t="n">
        <f aca="false">IF(AND(Q$4&gt;=IF($L43="",1,$L43),Q$4&lt;=IF($M43="",12,$M43)),$O43,0)</f>
        <v>12888.15</v>
      </c>
      <c r="R43" s="17" t="n">
        <f aca="false">IF(AND(R$4&gt;=IF($L43="",1,$L43),R$4&lt;=IF($M43="",12,$M43)),$O43,0)</f>
        <v>12888.15</v>
      </c>
      <c r="S43" s="17" t="n">
        <f aca="false">IF(AND(S$4&gt;=IF($L43="",1,$L43),S$4&lt;=IF($M43="",12,$M43)),$O43,0)</f>
        <v>12888.15</v>
      </c>
      <c r="T43" s="17" t="n">
        <f aca="false">IF(AND(T$4&gt;=IF($L43="",1,$L43),T$4&lt;=IF($M43="",12,$M43)),$O43,0)</f>
        <v>12888.15</v>
      </c>
      <c r="U43" s="17" t="n">
        <f aca="false">IF(AND(U$4&gt;=IF($L43="",1,$L43),U$4&lt;=IF($M43="",12,$M43)),$O43,0)</f>
        <v>12888.15</v>
      </c>
      <c r="V43" s="17" t="n">
        <f aca="false">IF(AND(V$4&gt;=IF($L43="",1,$L43),V$4&lt;=IF($M43="",12,$M43)),$O43,0)</f>
        <v>12888.15</v>
      </c>
      <c r="W43" s="17" t="n">
        <f aca="false">IF(AND(W$4&gt;=IF($L43="",1,$L43),W$4&lt;=IF($M43="",12,$M43)),$O43,0)</f>
        <v>12888.15</v>
      </c>
      <c r="X43" s="17" t="n">
        <f aca="false">IF(AND(X$4&gt;=IF($L43="",1,$L43),X$4&lt;=IF($M43="",12,$M43)),$O43,0)</f>
        <v>12888.15</v>
      </c>
      <c r="Y43" s="17" t="n">
        <f aca="false">IF(AND(Y$4&gt;=IF($L43="",1,$L43),Y$4&lt;=IF($M43="",12,$M43)),$O43,0)</f>
        <v>12888.15</v>
      </c>
      <c r="Z43" s="17" t="n">
        <f aca="false">IF(AND(Z$4&gt;=IF($L43="",1,$L43),Z$4&lt;=IF($M43="",12,$M43)),$O43,0)</f>
        <v>12888.15</v>
      </c>
      <c r="AA43" s="17" t="n">
        <f aca="false">IF(AND(AA$4&gt;=IF($L43="",1,$L43),AA$4&lt;=IF($M43="",12,$M43)),$O43,0)</f>
        <v>12888.15</v>
      </c>
      <c r="AB43" s="18" t="n">
        <f aca="false">SUM(P43:AA43)</f>
        <v>154657.8</v>
      </c>
    </row>
    <row r="44" customFormat="false" ht="15" hidden="false" customHeight="false" outlineLevel="0" collapsed="false">
      <c r="A44" s="42" t="s">
        <v>300</v>
      </c>
      <c r="B44" s="25" t="s">
        <v>63</v>
      </c>
      <c r="C44" s="43" t="s">
        <v>260</v>
      </c>
      <c r="D44" s="48" t="s">
        <v>261</v>
      </c>
      <c r="E44" s="45" t="n">
        <v>1</v>
      </c>
      <c r="F44" s="40"/>
      <c r="G44" s="46" t="n">
        <f aca="false">IFERROR(IF($F44&gt;0,MAX(0,INDEX('XERO ACTUALS'!$T$5:$T$132,MATCH($A44,'XERO ACTUALS'!$A$5:$A$132,0))-$F44),INDEX('XERO ACTUALS'!$T$5:$T$132,MATCH($A44,'XERO ACTUALS'!$A$5:$A$132,0)))*IF($E44="",1,$E44),"")</f>
        <v>1003</v>
      </c>
      <c r="H44" s="40"/>
      <c r="I44" s="26" t="s">
        <v>254</v>
      </c>
      <c r="J44" s="32"/>
      <c r="K44" s="27" t="n">
        <v>0</v>
      </c>
      <c r="L44" s="26" t="n">
        <v>1</v>
      </c>
      <c r="M44" s="26" t="n">
        <v>12</v>
      </c>
      <c r="N44" s="47" t="s">
        <v>255</v>
      </c>
      <c r="O44" s="18" t="n">
        <f aca="false">IF($N44="N",0,IF($A44="",0,(IF($J44&lt;&gt;"",$J44,IF($I44="BUDGET",IF($H44="",0,$H44),IF($G44="",0,$G44))))*(1+IF($K44="",0,$K44))))</f>
        <v>1003</v>
      </c>
      <c r="P44" s="17" t="n">
        <f aca="false">IF(AND(P$4&gt;=IF($L44="",1,$L44),P$4&lt;=IF($M44="",12,$M44)),$O44,0)</f>
        <v>1003</v>
      </c>
      <c r="Q44" s="17" t="n">
        <f aca="false">IF(AND(Q$4&gt;=IF($L44="",1,$L44),Q$4&lt;=IF($M44="",12,$M44)),$O44,0)</f>
        <v>1003</v>
      </c>
      <c r="R44" s="17" t="n">
        <f aca="false">IF(AND(R$4&gt;=IF($L44="",1,$L44),R$4&lt;=IF($M44="",12,$M44)),$O44,0)</f>
        <v>1003</v>
      </c>
      <c r="S44" s="17" t="n">
        <f aca="false">IF(AND(S$4&gt;=IF($L44="",1,$L44),S$4&lt;=IF($M44="",12,$M44)),$O44,0)</f>
        <v>1003</v>
      </c>
      <c r="T44" s="17" t="n">
        <f aca="false">IF(AND(T$4&gt;=IF($L44="",1,$L44),T$4&lt;=IF($M44="",12,$M44)),$O44,0)</f>
        <v>1003</v>
      </c>
      <c r="U44" s="17" t="n">
        <f aca="false">IF(AND(U$4&gt;=IF($L44="",1,$L44),U$4&lt;=IF($M44="",12,$M44)),$O44,0)</f>
        <v>1003</v>
      </c>
      <c r="V44" s="17" t="n">
        <f aca="false">IF(AND(V$4&gt;=IF($L44="",1,$L44),V$4&lt;=IF($M44="",12,$M44)),$O44,0)</f>
        <v>1003</v>
      </c>
      <c r="W44" s="17" t="n">
        <f aca="false">IF(AND(W$4&gt;=IF($L44="",1,$L44),W$4&lt;=IF($M44="",12,$M44)),$O44,0)</f>
        <v>1003</v>
      </c>
      <c r="X44" s="17" t="n">
        <f aca="false">IF(AND(X$4&gt;=IF($L44="",1,$L44),X$4&lt;=IF($M44="",12,$M44)),$O44,0)</f>
        <v>1003</v>
      </c>
      <c r="Y44" s="17" t="n">
        <f aca="false">IF(AND(Y$4&gt;=IF($L44="",1,$L44),Y$4&lt;=IF($M44="",12,$M44)),$O44,0)</f>
        <v>1003</v>
      </c>
      <c r="Z44" s="17" t="n">
        <f aca="false">IF(AND(Z$4&gt;=IF($L44="",1,$L44),Z$4&lt;=IF($M44="",12,$M44)),$O44,0)</f>
        <v>1003</v>
      </c>
      <c r="AA44" s="17" t="n">
        <f aca="false">IF(AND(AA$4&gt;=IF($L44="",1,$L44),AA$4&lt;=IF($M44="",12,$M44)),$O44,0)</f>
        <v>1003</v>
      </c>
      <c r="AB44" s="18" t="n">
        <f aca="false">SUM(P44:AA44)</f>
        <v>12036</v>
      </c>
    </row>
    <row r="45" customFormat="false" ht="15" hidden="false" customHeight="false" outlineLevel="0" collapsed="false">
      <c r="A45" s="42" t="s">
        <v>301</v>
      </c>
      <c r="B45" s="25" t="s">
        <v>63</v>
      </c>
      <c r="C45" s="43" t="s">
        <v>252</v>
      </c>
      <c r="D45" s="44" t="s">
        <v>253</v>
      </c>
      <c r="E45" s="45" t="n">
        <v>1</v>
      </c>
      <c r="F45" s="40"/>
      <c r="G45" s="46" t="n">
        <f aca="false">IFERROR(IF($F45&gt;0,MAX(0,INDEX('XERO ACTUALS'!$T$5:$T$132,MATCH($A45,'XERO ACTUALS'!$A$5:$A$132,0))-$F45),INDEX('XERO ACTUALS'!$T$5:$T$132,MATCH($A45,'XERO ACTUALS'!$A$5:$A$132,0)))*IF($E45="",1,$E45),"")</f>
        <v>925</v>
      </c>
      <c r="H45" s="40" t="n">
        <v>875.5</v>
      </c>
      <c r="I45" s="26" t="s">
        <v>254</v>
      </c>
      <c r="J45" s="32"/>
      <c r="K45" s="27" t="n">
        <v>0</v>
      </c>
      <c r="L45" s="26" t="n">
        <v>1</v>
      </c>
      <c r="M45" s="26" t="n">
        <v>12</v>
      </c>
      <c r="N45" s="47" t="s">
        <v>255</v>
      </c>
      <c r="O45" s="18" t="n">
        <f aca="false">IF($N45="N",0,IF($A45="",0,(IF($J45&lt;&gt;"",$J45,IF($I45="BUDGET",IF($H45="",0,$H45),IF($G45="",0,$G45))))*(1+IF($K45="",0,$K45))))</f>
        <v>925</v>
      </c>
      <c r="P45" s="17" t="n">
        <f aca="false">IF(AND(P$4&gt;=IF($L45="",1,$L45),P$4&lt;=IF($M45="",12,$M45)),$O45,0)</f>
        <v>925</v>
      </c>
      <c r="Q45" s="17" t="n">
        <f aca="false">IF(AND(Q$4&gt;=IF($L45="",1,$L45),Q$4&lt;=IF($M45="",12,$M45)),$O45,0)</f>
        <v>925</v>
      </c>
      <c r="R45" s="17" t="n">
        <f aca="false">IF(AND(R$4&gt;=IF($L45="",1,$L45),R$4&lt;=IF($M45="",12,$M45)),$O45,0)</f>
        <v>925</v>
      </c>
      <c r="S45" s="17" t="n">
        <f aca="false">IF(AND(S$4&gt;=IF($L45="",1,$L45),S$4&lt;=IF($M45="",12,$M45)),$O45,0)</f>
        <v>925</v>
      </c>
      <c r="T45" s="17" t="n">
        <f aca="false">IF(AND(T$4&gt;=IF($L45="",1,$L45),T$4&lt;=IF($M45="",12,$M45)),$O45,0)</f>
        <v>925</v>
      </c>
      <c r="U45" s="17" t="n">
        <f aca="false">IF(AND(U$4&gt;=IF($L45="",1,$L45),U$4&lt;=IF($M45="",12,$M45)),$O45,0)</f>
        <v>925</v>
      </c>
      <c r="V45" s="17" t="n">
        <f aca="false">IF(AND(V$4&gt;=IF($L45="",1,$L45),V$4&lt;=IF($M45="",12,$M45)),$O45,0)</f>
        <v>925</v>
      </c>
      <c r="W45" s="17" t="n">
        <f aca="false">IF(AND(W$4&gt;=IF($L45="",1,$L45),W$4&lt;=IF($M45="",12,$M45)),$O45,0)</f>
        <v>925</v>
      </c>
      <c r="X45" s="17" t="n">
        <f aca="false">IF(AND(X$4&gt;=IF($L45="",1,$L45),X$4&lt;=IF($M45="",12,$M45)),$O45,0)</f>
        <v>925</v>
      </c>
      <c r="Y45" s="17" t="n">
        <f aca="false">IF(AND(Y$4&gt;=IF($L45="",1,$L45),Y$4&lt;=IF($M45="",12,$M45)),$O45,0)</f>
        <v>925</v>
      </c>
      <c r="Z45" s="17" t="n">
        <f aca="false">IF(AND(Z$4&gt;=IF($L45="",1,$L45),Z$4&lt;=IF($M45="",12,$M45)),$O45,0)</f>
        <v>925</v>
      </c>
      <c r="AA45" s="17" t="n">
        <f aca="false">IF(AND(AA$4&gt;=IF($L45="",1,$L45),AA$4&lt;=IF($M45="",12,$M45)),$O45,0)</f>
        <v>925</v>
      </c>
      <c r="AB45" s="18" t="n">
        <f aca="false">SUM(P45:AA45)</f>
        <v>11100</v>
      </c>
    </row>
    <row r="46" customFormat="false" ht="15" hidden="false" customHeight="false" outlineLevel="0" collapsed="false">
      <c r="A46" s="42" t="s">
        <v>302</v>
      </c>
      <c r="B46" s="25" t="s">
        <v>63</v>
      </c>
      <c r="C46" s="43" t="s">
        <v>260</v>
      </c>
      <c r="D46" s="49" t="s">
        <v>278</v>
      </c>
      <c r="E46" s="45" t="n">
        <v>1</v>
      </c>
      <c r="F46" s="40"/>
      <c r="G46" s="46" t="n">
        <f aca="false">IFERROR(IF($F46&gt;0,MAX(0,INDEX('XERO ACTUALS'!$T$5:$T$132,MATCH($A46,'XERO ACTUALS'!$A$5:$A$132,0))-$F46),INDEX('XERO ACTUALS'!$T$5:$T$132,MATCH($A46,'XERO ACTUALS'!$A$5:$A$132,0)))*IF($E46="",1,$E46),"")</f>
        <v>773.503333333333</v>
      </c>
      <c r="H46" s="40"/>
      <c r="I46" s="26" t="s">
        <v>254</v>
      </c>
      <c r="J46" s="32"/>
      <c r="K46" s="27" t="n">
        <v>0</v>
      </c>
      <c r="L46" s="26" t="n">
        <v>1</v>
      </c>
      <c r="M46" s="26" t="n">
        <v>12</v>
      </c>
      <c r="N46" s="47" t="s">
        <v>255</v>
      </c>
      <c r="O46" s="18" t="n">
        <f aca="false">IF($N46="N",0,IF($A46="",0,(IF($J46&lt;&gt;"",$J46,IF($I46="BUDGET",IF($H46="",0,$H46),IF($G46="",0,$G46))))*(1+IF($K46="",0,$K46))))</f>
        <v>773.503333333333</v>
      </c>
      <c r="P46" s="17" t="n">
        <f aca="false">IF(AND(P$4&gt;=IF($L46="",1,$L46),P$4&lt;=IF($M46="",12,$M46)),$O46,0)</f>
        <v>773.503333333333</v>
      </c>
      <c r="Q46" s="17" t="n">
        <f aca="false">IF(AND(Q$4&gt;=IF($L46="",1,$L46),Q$4&lt;=IF($M46="",12,$M46)),$O46,0)</f>
        <v>773.503333333333</v>
      </c>
      <c r="R46" s="17" t="n">
        <f aca="false">IF(AND(R$4&gt;=IF($L46="",1,$L46),R$4&lt;=IF($M46="",12,$M46)),$O46,0)</f>
        <v>773.503333333333</v>
      </c>
      <c r="S46" s="17" t="n">
        <f aca="false">IF(AND(S$4&gt;=IF($L46="",1,$L46),S$4&lt;=IF($M46="",12,$M46)),$O46,0)</f>
        <v>773.503333333333</v>
      </c>
      <c r="T46" s="17" t="n">
        <f aca="false">IF(AND(T$4&gt;=IF($L46="",1,$L46),T$4&lt;=IF($M46="",12,$M46)),$O46,0)</f>
        <v>773.503333333333</v>
      </c>
      <c r="U46" s="17" t="n">
        <f aca="false">IF(AND(U$4&gt;=IF($L46="",1,$L46),U$4&lt;=IF($M46="",12,$M46)),$O46,0)</f>
        <v>773.503333333333</v>
      </c>
      <c r="V46" s="17" t="n">
        <f aca="false">IF(AND(V$4&gt;=IF($L46="",1,$L46),V$4&lt;=IF($M46="",12,$M46)),$O46,0)</f>
        <v>773.503333333333</v>
      </c>
      <c r="W46" s="17" t="n">
        <f aca="false">IF(AND(W$4&gt;=IF($L46="",1,$L46),W$4&lt;=IF($M46="",12,$M46)),$O46,0)</f>
        <v>773.503333333333</v>
      </c>
      <c r="X46" s="17" t="n">
        <f aca="false">IF(AND(X$4&gt;=IF($L46="",1,$L46),X$4&lt;=IF($M46="",12,$M46)),$O46,0)</f>
        <v>773.503333333333</v>
      </c>
      <c r="Y46" s="17" t="n">
        <f aca="false">IF(AND(Y$4&gt;=IF($L46="",1,$L46),Y$4&lt;=IF($M46="",12,$M46)),$O46,0)</f>
        <v>773.503333333333</v>
      </c>
      <c r="Z46" s="17" t="n">
        <f aca="false">IF(AND(Z$4&gt;=IF($L46="",1,$L46),Z$4&lt;=IF($M46="",12,$M46)),$O46,0)</f>
        <v>773.503333333333</v>
      </c>
      <c r="AA46" s="17" t="n">
        <f aca="false">IF(AND(AA$4&gt;=IF($L46="",1,$L46),AA$4&lt;=IF($M46="",12,$M46)),$O46,0)</f>
        <v>773.503333333333</v>
      </c>
      <c r="AB46" s="18" t="n">
        <f aca="false">SUM(P46:AA46)</f>
        <v>9282.04</v>
      </c>
    </row>
    <row r="47" customFormat="false" ht="15" hidden="false" customHeight="false" outlineLevel="0" collapsed="false">
      <c r="A47" s="42" t="s">
        <v>303</v>
      </c>
      <c r="B47" s="25" t="s">
        <v>63</v>
      </c>
      <c r="C47" s="43" t="s">
        <v>260</v>
      </c>
      <c r="D47" s="50" t="s">
        <v>285</v>
      </c>
      <c r="E47" s="45" t="n">
        <v>1</v>
      </c>
      <c r="F47" s="40"/>
      <c r="G47" s="46" t="n">
        <f aca="false">IFERROR(IF($F47&gt;0,MAX(0,INDEX('XERO ACTUALS'!$T$5:$T$132,MATCH($A47,'XERO ACTUALS'!$A$5:$A$132,0))-$F47),INDEX('XERO ACTUALS'!$T$5:$T$132,MATCH($A47,'XERO ACTUALS'!$A$5:$A$132,0)))*IF($E47="",1,$E47),"")</f>
        <v>386.719462317972</v>
      </c>
      <c r="H47" s="40"/>
      <c r="I47" s="26" t="s">
        <v>254</v>
      </c>
      <c r="J47" s="32"/>
      <c r="K47" s="27" t="n">
        <v>0</v>
      </c>
      <c r="L47" s="26" t="n">
        <v>1</v>
      </c>
      <c r="M47" s="26" t="n">
        <v>12</v>
      </c>
      <c r="N47" s="47" t="s">
        <v>267</v>
      </c>
      <c r="O47" s="18" t="n">
        <f aca="false">IF($N47="N",0,IF($A47="",0,(IF($J47&lt;&gt;"",$J47,IF($I47="BUDGET",IF($H47="",0,$H47),IF($G47="",0,$G47))))*(1+IF($K47="",0,$K47))))</f>
        <v>0</v>
      </c>
      <c r="P47" s="17" t="n">
        <f aca="false">IF(AND(P$4&gt;=IF($L47="",1,$L47),P$4&lt;=IF($M47="",12,$M47)),$O47,0)</f>
        <v>0</v>
      </c>
      <c r="Q47" s="17" t="n">
        <f aca="false">IF(AND(Q$4&gt;=IF($L47="",1,$L47),Q$4&lt;=IF($M47="",12,$M47)),$O47,0)</f>
        <v>0</v>
      </c>
      <c r="R47" s="17" t="n">
        <f aca="false">IF(AND(R$4&gt;=IF($L47="",1,$L47),R$4&lt;=IF($M47="",12,$M47)),$O47,0)</f>
        <v>0</v>
      </c>
      <c r="S47" s="17" t="n">
        <f aca="false">IF(AND(S$4&gt;=IF($L47="",1,$L47),S$4&lt;=IF($M47="",12,$M47)),$O47,0)</f>
        <v>0</v>
      </c>
      <c r="T47" s="17" t="n">
        <f aca="false">IF(AND(T$4&gt;=IF($L47="",1,$L47),T$4&lt;=IF($M47="",12,$M47)),$O47,0)</f>
        <v>0</v>
      </c>
      <c r="U47" s="17" t="n">
        <f aca="false">IF(AND(U$4&gt;=IF($L47="",1,$L47),U$4&lt;=IF($M47="",12,$M47)),$O47,0)</f>
        <v>0</v>
      </c>
      <c r="V47" s="17" t="n">
        <f aca="false">IF(AND(V$4&gt;=IF($L47="",1,$L47),V$4&lt;=IF($M47="",12,$M47)),$O47,0)</f>
        <v>0</v>
      </c>
      <c r="W47" s="17" t="n">
        <f aca="false">IF(AND(W$4&gt;=IF($L47="",1,$L47),W$4&lt;=IF($M47="",12,$M47)),$O47,0)</f>
        <v>0</v>
      </c>
      <c r="X47" s="17" t="n">
        <f aca="false">IF(AND(X$4&gt;=IF($L47="",1,$L47),X$4&lt;=IF($M47="",12,$M47)),$O47,0)</f>
        <v>0</v>
      </c>
      <c r="Y47" s="17" t="n">
        <f aca="false">IF(AND(Y$4&gt;=IF($L47="",1,$L47),Y$4&lt;=IF($M47="",12,$M47)),$O47,0)</f>
        <v>0</v>
      </c>
      <c r="Z47" s="17" t="n">
        <f aca="false">IF(AND(Z$4&gt;=IF($L47="",1,$L47),Z$4&lt;=IF($M47="",12,$M47)),$O47,0)</f>
        <v>0</v>
      </c>
      <c r="AA47" s="17" t="n">
        <f aca="false">IF(AND(AA$4&gt;=IF($L47="",1,$L47),AA$4&lt;=IF($M47="",12,$M47)),$O47,0)</f>
        <v>0</v>
      </c>
      <c r="AB47" s="18" t="n">
        <f aca="false">SUM(P47:AA47)</f>
        <v>0</v>
      </c>
    </row>
    <row r="48" customFormat="false" ht="15" hidden="false" customHeight="false" outlineLevel="0" collapsed="false">
      <c r="A48" s="16" t="s">
        <v>304</v>
      </c>
      <c r="B48" s="25" t="s">
        <v>63</v>
      </c>
      <c r="C48" s="43" t="s">
        <v>264</v>
      </c>
      <c r="D48" s="44" t="s">
        <v>265</v>
      </c>
      <c r="E48" s="45"/>
      <c r="F48" s="40"/>
      <c r="G48" s="46"/>
      <c r="H48" s="40" t="n">
        <v>329.17</v>
      </c>
      <c r="I48" s="26" t="s">
        <v>266</v>
      </c>
      <c r="J48" s="32"/>
      <c r="K48" s="27" t="n">
        <v>0</v>
      </c>
      <c r="L48" s="26" t="n">
        <v>1</v>
      </c>
      <c r="M48" s="26" t="n">
        <v>12</v>
      </c>
      <c r="N48" s="47" t="s">
        <v>267</v>
      </c>
      <c r="O48" s="18" t="n">
        <f aca="false">IF($N48="N",0,IF($A48="",0,(IF($J48&lt;&gt;"",$J48,IF($I48="BUDGET",IF($H48="",0,$H48),IF($G48="",0,$G48))))*(1+IF($K48="",0,$K48))))</f>
        <v>0</v>
      </c>
      <c r="P48" s="17" t="n">
        <f aca="false">IF(AND(P$4&gt;=IF($L48="",1,$L48),P$4&lt;=IF($M48="",12,$M48)),$O48,0)</f>
        <v>0</v>
      </c>
      <c r="Q48" s="17" t="n">
        <f aca="false">IF(AND(Q$4&gt;=IF($L48="",1,$L48),Q$4&lt;=IF($M48="",12,$M48)),$O48,0)</f>
        <v>0</v>
      </c>
      <c r="R48" s="17" t="n">
        <f aca="false">IF(AND(R$4&gt;=IF($L48="",1,$L48),R$4&lt;=IF($M48="",12,$M48)),$O48,0)</f>
        <v>0</v>
      </c>
      <c r="S48" s="17" t="n">
        <f aca="false">IF(AND(S$4&gt;=IF($L48="",1,$L48),S$4&lt;=IF($M48="",12,$M48)),$O48,0)</f>
        <v>0</v>
      </c>
      <c r="T48" s="17" t="n">
        <f aca="false">IF(AND(T$4&gt;=IF($L48="",1,$L48),T$4&lt;=IF($M48="",12,$M48)),$O48,0)</f>
        <v>0</v>
      </c>
      <c r="U48" s="17" t="n">
        <f aca="false">IF(AND(U$4&gt;=IF($L48="",1,$L48),U$4&lt;=IF($M48="",12,$M48)),$O48,0)</f>
        <v>0</v>
      </c>
      <c r="V48" s="17" t="n">
        <f aca="false">IF(AND(V$4&gt;=IF($L48="",1,$L48),V$4&lt;=IF($M48="",12,$M48)),$O48,0)</f>
        <v>0</v>
      </c>
      <c r="W48" s="17" t="n">
        <f aca="false">IF(AND(W$4&gt;=IF($L48="",1,$L48),W$4&lt;=IF($M48="",12,$M48)),$O48,0)</f>
        <v>0</v>
      </c>
      <c r="X48" s="17" t="n">
        <f aca="false">IF(AND(X$4&gt;=IF($L48="",1,$L48),X$4&lt;=IF($M48="",12,$M48)),$O48,0)</f>
        <v>0</v>
      </c>
      <c r="Y48" s="17" t="n">
        <f aca="false">IF(AND(Y$4&gt;=IF($L48="",1,$L48),Y$4&lt;=IF($M48="",12,$M48)),$O48,0)</f>
        <v>0</v>
      </c>
      <c r="Z48" s="17" t="n">
        <f aca="false">IF(AND(Z$4&gt;=IF($L48="",1,$L48),Z$4&lt;=IF($M48="",12,$M48)),$O48,0)</f>
        <v>0</v>
      </c>
      <c r="AA48" s="17" t="n">
        <f aca="false">IF(AND(AA$4&gt;=IF($L48="",1,$L48),AA$4&lt;=IF($M48="",12,$M48)),$O48,0)</f>
        <v>0</v>
      </c>
      <c r="AB48" s="18" t="n">
        <f aca="false">SUM(P48:AA48)</f>
        <v>0</v>
      </c>
    </row>
    <row r="49" customFormat="false" ht="15" hidden="false" customHeight="false" outlineLevel="0" collapsed="false">
      <c r="A49" s="42" t="s">
        <v>305</v>
      </c>
      <c r="B49" s="25" t="s">
        <v>63</v>
      </c>
      <c r="C49" s="43" t="s">
        <v>260</v>
      </c>
      <c r="D49" s="44" t="s">
        <v>253</v>
      </c>
      <c r="E49" s="45" t="n">
        <v>1</v>
      </c>
      <c r="F49" s="40"/>
      <c r="G49" s="46" t="n">
        <f aca="false">IFERROR(IF($F49&gt;0,MAX(0,INDEX('XERO ACTUALS'!$T$5:$T$132,MATCH($A49,'XERO ACTUALS'!$A$5:$A$132,0))-$F49),INDEX('XERO ACTUALS'!$T$5:$T$132,MATCH($A49,'XERO ACTUALS'!$A$5:$A$132,0)))*IF($E49="",1,$E49),"")</f>
        <v>190.333333333333</v>
      </c>
      <c r="H49" s="40"/>
      <c r="I49" s="26" t="s">
        <v>254</v>
      </c>
      <c r="J49" s="32"/>
      <c r="K49" s="27" t="n">
        <v>0</v>
      </c>
      <c r="L49" s="26" t="n">
        <v>1</v>
      </c>
      <c r="M49" s="26" t="n">
        <v>12</v>
      </c>
      <c r="N49" s="47" t="s">
        <v>255</v>
      </c>
      <c r="O49" s="18" t="n">
        <f aca="false">IF($N49="N",0,IF($A49="",0,(IF($J49&lt;&gt;"",$J49,IF($I49="BUDGET",IF($H49="",0,$H49),IF($G49="",0,$G49))))*(1+IF($K49="",0,$K49))))</f>
        <v>190.333333333333</v>
      </c>
      <c r="P49" s="17" t="n">
        <f aca="false">IF(AND(P$4&gt;=IF($L49="",1,$L49),P$4&lt;=IF($M49="",12,$M49)),$O49,0)</f>
        <v>190.333333333333</v>
      </c>
      <c r="Q49" s="17" t="n">
        <f aca="false">IF(AND(Q$4&gt;=IF($L49="",1,$L49),Q$4&lt;=IF($M49="",12,$M49)),$O49,0)</f>
        <v>190.333333333333</v>
      </c>
      <c r="R49" s="17" t="n">
        <f aca="false">IF(AND(R$4&gt;=IF($L49="",1,$L49),R$4&lt;=IF($M49="",12,$M49)),$O49,0)</f>
        <v>190.333333333333</v>
      </c>
      <c r="S49" s="17" t="n">
        <f aca="false">IF(AND(S$4&gt;=IF($L49="",1,$L49),S$4&lt;=IF($M49="",12,$M49)),$O49,0)</f>
        <v>190.333333333333</v>
      </c>
      <c r="T49" s="17" t="n">
        <f aca="false">IF(AND(T$4&gt;=IF($L49="",1,$L49),T$4&lt;=IF($M49="",12,$M49)),$O49,0)</f>
        <v>190.333333333333</v>
      </c>
      <c r="U49" s="17" t="n">
        <f aca="false">IF(AND(U$4&gt;=IF($L49="",1,$L49),U$4&lt;=IF($M49="",12,$M49)),$O49,0)</f>
        <v>190.333333333333</v>
      </c>
      <c r="V49" s="17" t="n">
        <f aca="false">IF(AND(V$4&gt;=IF($L49="",1,$L49),V$4&lt;=IF($M49="",12,$M49)),$O49,0)</f>
        <v>190.333333333333</v>
      </c>
      <c r="W49" s="17" t="n">
        <f aca="false">IF(AND(W$4&gt;=IF($L49="",1,$L49),W$4&lt;=IF($M49="",12,$M49)),$O49,0)</f>
        <v>190.333333333333</v>
      </c>
      <c r="X49" s="17" t="n">
        <f aca="false">IF(AND(X$4&gt;=IF($L49="",1,$L49),X$4&lt;=IF($M49="",12,$M49)),$O49,0)</f>
        <v>190.333333333333</v>
      </c>
      <c r="Y49" s="17" t="n">
        <f aca="false">IF(AND(Y$4&gt;=IF($L49="",1,$L49),Y$4&lt;=IF($M49="",12,$M49)),$O49,0)</f>
        <v>190.333333333333</v>
      </c>
      <c r="Z49" s="17" t="n">
        <f aca="false">IF(AND(Z$4&gt;=IF($L49="",1,$L49),Z$4&lt;=IF($M49="",12,$M49)),$O49,0)</f>
        <v>190.333333333333</v>
      </c>
      <c r="AA49" s="17" t="n">
        <f aca="false">IF(AND(AA$4&gt;=IF($L49="",1,$L49),AA$4&lt;=IF($M49="",12,$M49)),$O49,0)</f>
        <v>190.333333333333</v>
      </c>
      <c r="AB49" s="18" t="n">
        <f aca="false">SUM(P49:AA49)</f>
        <v>2284</v>
      </c>
    </row>
    <row r="50" customFormat="false" ht="15" hidden="false" customHeight="false" outlineLevel="0" collapsed="false">
      <c r="A50" s="42" t="s">
        <v>306</v>
      </c>
      <c r="B50" s="25" t="s">
        <v>63</v>
      </c>
      <c r="C50" s="43" t="s">
        <v>252</v>
      </c>
      <c r="D50" s="44" t="s">
        <v>253</v>
      </c>
      <c r="E50" s="45" t="n">
        <v>1</v>
      </c>
      <c r="F50" s="40"/>
      <c r="G50" s="46" t="n">
        <f aca="false">IFERROR(IF($F50&gt;0,MAX(0,INDEX('XERO ACTUALS'!$T$5:$T$132,MATCH($A50,'XERO ACTUALS'!$A$5:$A$132,0))-$F50),INDEX('XERO ACTUALS'!$T$5:$T$132,MATCH($A50,'XERO ACTUALS'!$A$5:$A$132,0)))*IF($E50="",1,$E50),"")</f>
        <v>164.666666666667</v>
      </c>
      <c r="H50" s="40" t="n">
        <v>89.2</v>
      </c>
      <c r="I50" s="26" t="s">
        <v>254</v>
      </c>
      <c r="J50" s="32"/>
      <c r="K50" s="27" t="n">
        <v>0</v>
      </c>
      <c r="L50" s="26" t="n">
        <v>1</v>
      </c>
      <c r="M50" s="26" t="n">
        <v>12</v>
      </c>
      <c r="N50" s="47" t="s">
        <v>255</v>
      </c>
      <c r="O50" s="18" t="n">
        <f aca="false">IF($N50="N",0,IF($A50="",0,(IF($J50&lt;&gt;"",$J50,IF($I50="BUDGET",IF($H50="",0,$H50),IF($G50="",0,$G50))))*(1+IF($K50="",0,$K50))))</f>
        <v>164.666666666667</v>
      </c>
      <c r="P50" s="17" t="n">
        <f aca="false">IF(AND(P$4&gt;=IF($L50="",1,$L50),P$4&lt;=IF($M50="",12,$M50)),$O50,0)</f>
        <v>164.666666666667</v>
      </c>
      <c r="Q50" s="17" t="n">
        <f aca="false">IF(AND(Q$4&gt;=IF($L50="",1,$L50),Q$4&lt;=IF($M50="",12,$M50)),$O50,0)</f>
        <v>164.666666666667</v>
      </c>
      <c r="R50" s="17" t="n">
        <f aca="false">IF(AND(R$4&gt;=IF($L50="",1,$L50),R$4&lt;=IF($M50="",12,$M50)),$O50,0)</f>
        <v>164.666666666667</v>
      </c>
      <c r="S50" s="17" t="n">
        <f aca="false">IF(AND(S$4&gt;=IF($L50="",1,$L50),S$4&lt;=IF($M50="",12,$M50)),$O50,0)</f>
        <v>164.666666666667</v>
      </c>
      <c r="T50" s="17" t="n">
        <f aca="false">IF(AND(T$4&gt;=IF($L50="",1,$L50),T$4&lt;=IF($M50="",12,$M50)),$O50,0)</f>
        <v>164.666666666667</v>
      </c>
      <c r="U50" s="17" t="n">
        <f aca="false">IF(AND(U$4&gt;=IF($L50="",1,$L50),U$4&lt;=IF($M50="",12,$M50)),$O50,0)</f>
        <v>164.666666666667</v>
      </c>
      <c r="V50" s="17" t="n">
        <f aca="false">IF(AND(V$4&gt;=IF($L50="",1,$L50),V$4&lt;=IF($M50="",12,$M50)),$O50,0)</f>
        <v>164.666666666667</v>
      </c>
      <c r="W50" s="17" t="n">
        <f aca="false">IF(AND(W$4&gt;=IF($L50="",1,$L50),W$4&lt;=IF($M50="",12,$M50)),$O50,0)</f>
        <v>164.666666666667</v>
      </c>
      <c r="X50" s="17" t="n">
        <f aca="false">IF(AND(X$4&gt;=IF($L50="",1,$L50),X$4&lt;=IF($M50="",12,$M50)),$O50,0)</f>
        <v>164.666666666667</v>
      </c>
      <c r="Y50" s="17" t="n">
        <f aca="false">IF(AND(Y$4&gt;=IF($L50="",1,$L50),Y$4&lt;=IF($M50="",12,$M50)),$O50,0)</f>
        <v>164.666666666667</v>
      </c>
      <c r="Z50" s="17" t="n">
        <f aca="false">IF(AND(Z$4&gt;=IF($L50="",1,$L50),Z$4&lt;=IF($M50="",12,$M50)),$O50,0)</f>
        <v>164.666666666667</v>
      </c>
      <c r="AA50" s="17" t="n">
        <f aca="false">IF(AND(AA$4&gt;=IF($L50="",1,$L50),AA$4&lt;=IF($M50="",12,$M50)),$O50,0)</f>
        <v>164.666666666667</v>
      </c>
      <c r="AB50" s="18" t="n">
        <f aca="false">SUM(P50:AA50)</f>
        <v>1976</v>
      </c>
    </row>
    <row r="51" customFormat="false" ht="15" hidden="false" customHeight="false" outlineLevel="0" collapsed="false">
      <c r="A51" s="42" t="s">
        <v>307</v>
      </c>
      <c r="B51" s="25" t="s">
        <v>63</v>
      </c>
      <c r="C51" s="43" t="s">
        <v>252</v>
      </c>
      <c r="D51" s="44" t="s">
        <v>253</v>
      </c>
      <c r="E51" s="45" t="n">
        <v>1</v>
      </c>
      <c r="F51" s="40"/>
      <c r="G51" s="46" t="n">
        <f aca="false">IFERROR(IF($F51&gt;0,MAX(0,INDEX('XERO ACTUALS'!$T$5:$T$132,MATCH($A51,'XERO ACTUALS'!$A$5:$A$132,0))-$F51),INDEX('XERO ACTUALS'!$T$5:$T$132,MATCH($A51,'XERO ACTUALS'!$A$5:$A$132,0)))*IF($E51="",1,$E51),"")</f>
        <v>122</v>
      </c>
      <c r="H51" s="40" t="n">
        <v>98</v>
      </c>
      <c r="I51" s="26" t="s">
        <v>254</v>
      </c>
      <c r="J51" s="32"/>
      <c r="K51" s="27" t="n">
        <v>0</v>
      </c>
      <c r="L51" s="26" t="n">
        <v>1</v>
      </c>
      <c r="M51" s="26" t="n">
        <v>12</v>
      </c>
      <c r="N51" s="47" t="s">
        <v>255</v>
      </c>
      <c r="O51" s="18" t="n">
        <f aca="false">IF($N51="N",0,IF($A51="",0,(IF($J51&lt;&gt;"",$J51,IF($I51="BUDGET",IF($H51="",0,$H51),IF($G51="",0,$G51))))*(1+IF($K51="",0,$K51))))</f>
        <v>122</v>
      </c>
      <c r="P51" s="17" t="n">
        <f aca="false">IF(AND(P$4&gt;=IF($L51="",1,$L51),P$4&lt;=IF($M51="",12,$M51)),$O51,0)</f>
        <v>122</v>
      </c>
      <c r="Q51" s="17" t="n">
        <f aca="false">IF(AND(Q$4&gt;=IF($L51="",1,$L51),Q$4&lt;=IF($M51="",12,$M51)),$O51,0)</f>
        <v>122</v>
      </c>
      <c r="R51" s="17" t="n">
        <f aca="false">IF(AND(R$4&gt;=IF($L51="",1,$L51),R$4&lt;=IF($M51="",12,$M51)),$O51,0)</f>
        <v>122</v>
      </c>
      <c r="S51" s="17" t="n">
        <f aca="false">IF(AND(S$4&gt;=IF($L51="",1,$L51),S$4&lt;=IF($M51="",12,$M51)),$O51,0)</f>
        <v>122</v>
      </c>
      <c r="T51" s="17" t="n">
        <f aca="false">IF(AND(T$4&gt;=IF($L51="",1,$L51),T$4&lt;=IF($M51="",12,$M51)),$O51,0)</f>
        <v>122</v>
      </c>
      <c r="U51" s="17" t="n">
        <f aca="false">IF(AND(U$4&gt;=IF($L51="",1,$L51),U$4&lt;=IF($M51="",12,$M51)),$O51,0)</f>
        <v>122</v>
      </c>
      <c r="V51" s="17" t="n">
        <f aca="false">IF(AND(V$4&gt;=IF($L51="",1,$L51),V$4&lt;=IF($M51="",12,$M51)),$O51,0)</f>
        <v>122</v>
      </c>
      <c r="W51" s="17" t="n">
        <f aca="false">IF(AND(W$4&gt;=IF($L51="",1,$L51),W$4&lt;=IF($M51="",12,$M51)),$O51,0)</f>
        <v>122</v>
      </c>
      <c r="X51" s="17" t="n">
        <f aca="false">IF(AND(X$4&gt;=IF($L51="",1,$L51),X$4&lt;=IF($M51="",12,$M51)),$O51,0)</f>
        <v>122</v>
      </c>
      <c r="Y51" s="17" t="n">
        <f aca="false">IF(AND(Y$4&gt;=IF($L51="",1,$L51),Y$4&lt;=IF($M51="",12,$M51)),$O51,0)</f>
        <v>122</v>
      </c>
      <c r="Z51" s="17" t="n">
        <f aca="false">IF(AND(Z$4&gt;=IF($L51="",1,$L51),Z$4&lt;=IF($M51="",12,$M51)),$O51,0)</f>
        <v>122</v>
      </c>
      <c r="AA51" s="17" t="n">
        <f aca="false">IF(AND(AA$4&gt;=IF($L51="",1,$L51),AA$4&lt;=IF($M51="",12,$M51)),$O51,0)</f>
        <v>122</v>
      </c>
      <c r="AB51" s="18" t="n">
        <f aca="false">SUM(P51:AA51)</f>
        <v>1464</v>
      </c>
    </row>
    <row r="52" customFormat="false" ht="15" hidden="false" customHeight="false" outlineLevel="0" collapsed="false">
      <c r="A52" s="42" t="s">
        <v>308</v>
      </c>
      <c r="B52" s="25" t="s">
        <v>63</v>
      </c>
      <c r="C52" s="43" t="s">
        <v>252</v>
      </c>
      <c r="D52" s="44" t="s">
        <v>253</v>
      </c>
      <c r="E52" s="45" t="n">
        <v>1</v>
      </c>
      <c r="F52" s="40"/>
      <c r="G52" s="46" t="n">
        <f aca="false">IFERROR(IF($F52&gt;0,MAX(0,INDEX('XERO ACTUALS'!$T$5:$T$132,MATCH($A52,'XERO ACTUALS'!$A$5:$A$132,0))-$F52),INDEX('XERO ACTUALS'!$T$5:$T$132,MATCH($A52,'XERO ACTUALS'!$A$5:$A$132,0)))*IF($E52="",1,$E52),"")</f>
        <v>120</v>
      </c>
      <c r="H52" s="40" t="n">
        <v>120</v>
      </c>
      <c r="I52" s="26" t="s">
        <v>254</v>
      </c>
      <c r="J52" s="32"/>
      <c r="K52" s="27" t="n">
        <v>0</v>
      </c>
      <c r="L52" s="26" t="n">
        <v>1</v>
      </c>
      <c r="M52" s="26" t="n">
        <v>12</v>
      </c>
      <c r="N52" s="47" t="s">
        <v>255</v>
      </c>
      <c r="O52" s="18" t="n">
        <f aca="false">IF($N52="N",0,IF($A52="",0,(IF($J52&lt;&gt;"",$J52,IF($I52="BUDGET",IF($H52="",0,$H52),IF($G52="",0,$G52))))*(1+IF($K52="",0,$K52))))</f>
        <v>120</v>
      </c>
      <c r="P52" s="17" t="n">
        <f aca="false">IF(AND(P$4&gt;=IF($L52="",1,$L52),P$4&lt;=IF($M52="",12,$M52)),$O52,0)</f>
        <v>120</v>
      </c>
      <c r="Q52" s="17" t="n">
        <f aca="false">IF(AND(Q$4&gt;=IF($L52="",1,$L52),Q$4&lt;=IF($M52="",12,$M52)),$O52,0)</f>
        <v>120</v>
      </c>
      <c r="R52" s="17" t="n">
        <f aca="false">IF(AND(R$4&gt;=IF($L52="",1,$L52),R$4&lt;=IF($M52="",12,$M52)),$O52,0)</f>
        <v>120</v>
      </c>
      <c r="S52" s="17" t="n">
        <f aca="false">IF(AND(S$4&gt;=IF($L52="",1,$L52),S$4&lt;=IF($M52="",12,$M52)),$O52,0)</f>
        <v>120</v>
      </c>
      <c r="T52" s="17" t="n">
        <f aca="false">IF(AND(T$4&gt;=IF($L52="",1,$L52),T$4&lt;=IF($M52="",12,$M52)),$O52,0)</f>
        <v>120</v>
      </c>
      <c r="U52" s="17" t="n">
        <f aca="false">IF(AND(U$4&gt;=IF($L52="",1,$L52),U$4&lt;=IF($M52="",12,$M52)),$O52,0)</f>
        <v>120</v>
      </c>
      <c r="V52" s="17" t="n">
        <f aca="false">IF(AND(V$4&gt;=IF($L52="",1,$L52),V$4&lt;=IF($M52="",12,$M52)),$O52,0)</f>
        <v>120</v>
      </c>
      <c r="W52" s="17" t="n">
        <f aca="false">IF(AND(W$4&gt;=IF($L52="",1,$L52),W$4&lt;=IF($M52="",12,$M52)),$O52,0)</f>
        <v>120</v>
      </c>
      <c r="X52" s="17" t="n">
        <f aca="false">IF(AND(X$4&gt;=IF($L52="",1,$L52),X$4&lt;=IF($M52="",12,$M52)),$O52,0)</f>
        <v>120</v>
      </c>
      <c r="Y52" s="17" t="n">
        <f aca="false">IF(AND(Y$4&gt;=IF($L52="",1,$L52),Y$4&lt;=IF($M52="",12,$M52)),$O52,0)</f>
        <v>120</v>
      </c>
      <c r="Z52" s="17" t="n">
        <f aca="false">IF(AND(Z$4&gt;=IF($L52="",1,$L52),Z$4&lt;=IF($M52="",12,$M52)),$O52,0)</f>
        <v>120</v>
      </c>
      <c r="AA52" s="17" t="n">
        <f aca="false">IF(AND(AA$4&gt;=IF($L52="",1,$L52),AA$4&lt;=IF($M52="",12,$M52)),$O52,0)</f>
        <v>120</v>
      </c>
      <c r="AB52" s="18" t="n">
        <f aca="false">SUM(P52:AA52)</f>
        <v>1440</v>
      </c>
    </row>
    <row r="53" customFormat="false" ht="15" hidden="false" customHeight="false" outlineLevel="0" collapsed="false">
      <c r="A53" s="42" t="s">
        <v>309</v>
      </c>
      <c r="B53" s="25" t="s">
        <v>63</v>
      </c>
      <c r="C53" s="43" t="s">
        <v>252</v>
      </c>
      <c r="D53" s="44" t="s">
        <v>253</v>
      </c>
      <c r="E53" s="45" t="n">
        <v>1</v>
      </c>
      <c r="F53" s="40"/>
      <c r="G53" s="46" t="n">
        <f aca="false">IFERROR(IF($F53&gt;0,MAX(0,INDEX('XERO ACTUALS'!$T$5:$T$132,MATCH($A53,'XERO ACTUALS'!$A$5:$A$132,0))-$F53),INDEX('XERO ACTUALS'!$T$5:$T$132,MATCH($A53,'XERO ACTUALS'!$A$5:$A$132,0)))*IF($E53="",1,$E53),"")</f>
        <v>105</v>
      </c>
      <c r="H53" s="40" t="n">
        <v>84</v>
      </c>
      <c r="I53" s="26" t="s">
        <v>254</v>
      </c>
      <c r="J53" s="32"/>
      <c r="K53" s="27" t="n">
        <v>0</v>
      </c>
      <c r="L53" s="26" t="n">
        <v>1</v>
      </c>
      <c r="M53" s="26" t="n">
        <v>12</v>
      </c>
      <c r="N53" s="47" t="s">
        <v>255</v>
      </c>
      <c r="O53" s="18" t="n">
        <f aca="false">IF($N53="N",0,IF($A53="",0,(IF($J53&lt;&gt;"",$J53,IF($I53="BUDGET",IF($H53="",0,$H53),IF($G53="",0,$G53))))*(1+IF($K53="",0,$K53))))</f>
        <v>105</v>
      </c>
      <c r="P53" s="17" t="n">
        <f aca="false">IF(AND(P$4&gt;=IF($L53="",1,$L53),P$4&lt;=IF($M53="",12,$M53)),$O53,0)</f>
        <v>105</v>
      </c>
      <c r="Q53" s="17" t="n">
        <f aca="false">IF(AND(Q$4&gt;=IF($L53="",1,$L53),Q$4&lt;=IF($M53="",12,$M53)),$O53,0)</f>
        <v>105</v>
      </c>
      <c r="R53" s="17" t="n">
        <f aca="false">IF(AND(R$4&gt;=IF($L53="",1,$L53),R$4&lt;=IF($M53="",12,$M53)),$O53,0)</f>
        <v>105</v>
      </c>
      <c r="S53" s="17" t="n">
        <f aca="false">IF(AND(S$4&gt;=IF($L53="",1,$L53),S$4&lt;=IF($M53="",12,$M53)),$O53,0)</f>
        <v>105</v>
      </c>
      <c r="T53" s="17" t="n">
        <f aca="false">IF(AND(T$4&gt;=IF($L53="",1,$L53),T$4&lt;=IF($M53="",12,$M53)),$O53,0)</f>
        <v>105</v>
      </c>
      <c r="U53" s="17" t="n">
        <f aca="false">IF(AND(U$4&gt;=IF($L53="",1,$L53),U$4&lt;=IF($M53="",12,$M53)),$O53,0)</f>
        <v>105</v>
      </c>
      <c r="V53" s="17" t="n">
        <f aca="false">IF(AND(V$4&gt;=IF($L53="",1,$L53),V$4&lt;=IF($M53="",12,$M53)),$O53,0)</f>
        <v>105</v>
      </c>
      <c r="W53" s="17" t="n">
        <f aca="false">IF(AND(W$4&gt;=IF($L53="",1,$L53),W$4&lt;=IF($M53="",12,$M53)),$O53,0)</f>
        <v>105</v>
      </c>
      <c r="X53" s="17" t="n">
        <f aca="false">IF(AND(X$4&gt;=IF($L53="",1,$L53),X$4&lt;=IF($M53="",12,$M53)),$O53,0)</f>
        <v>105</v>
      </c>
      <c r="Y53" s="17" t="n">
        <f aca="false">IF(AND(Y$4&gt;=IF($L53="",1,$L53),Y$4&lt;=IF($M53="",12,$M53)),$O53,0)</f>
        <v>105</v>
      </c>
      <c r="Z53" s="17" t="n">
        <f aca="false">IF(AND(Z$4&gt;=IF($L53="",1,$L53),Z$4&lt;=IF($M53="",12,$M53)),$O53,0)</f>
        <v>105</v>
      </c>
      <c r="AA53" s="17" t="n">
        <f aca="false">IF(AND(AA$4&gt;=IF($L53="",1,$L53),AA$4&lt;=IF($M53="",12,$M53)),$O53,0)</f>
        <v>105</v>
      </c>
      <c r="AB53" s="18" t="n">
        <f aca="false">SUM(P53:AA53)</f>
        <v>1260</v>
      </c>
    </row>
    <row r="54" customFormat="false" ht="15" hidden="false" customHeight="false" outlineLevel="0" collapsed="false">
      <c r="A54" s="42" t="s">
        <v>310</v>
      </c>
      <c r="B54" s="25" t="s">
        <v>63</v>
      </c>
      <c r="C54" s="43" t="s">
        <v>252</v>
      </c>
      <c r="D54" s="44" t="s">
        <v>253</v>
      </c>
      <c r="E54" s="45" t="n">
        <v>1</v>
      </c>
      <c r="F54" s="40"/>
      <c r="G54" s="46" t="n">
        <f aca="false">IFERROR(IF($F54&gt;0,MAX(0,INDEX('XERO ACTUALS'!$T$5:$T$132,MATCH($A54,'XERO ACTUALS'!$A$5:$A$132,0))-$F54),INDEX('XERO ACTUALS'!$T$5:$T$132,MATCH($A54,'XERO ACTUALS'!$A$5:$A$132,0)))*IF($E54="",1,$E54),"")</f>
        <v>91</v>
      </c>
      <c r="H54" s="40" t="n">
        <v>91</v>
      </c>
      <c r="I54" s="26" t="s">
        <v>254</v>
      </c>
      <c r="J54" s="32"/>
      <c r="K54" s="27" t="n">
        <v>0</v>
      </c>
      <c r="L54" s="26" t="n">
        <v>1</v>
      </c>
      <c r="M54" s="26" t="n">
        <v>12</v>
      </c>
      <c r="N54" s="47" t="s">
        <v>255</v>
      </c>
      <c r="O54" s="18" t="n">
        <f aca="false">IF($N54="N",0,IF($A54="",0,(IF($J54&lt;&gt;"",$J54,IF($I54="BUDGET",IF($H54="",0,$H54),IF($G54="",0,$G54))))*(1+IF($K54="",0,$K54))))</f>
        <v>91</v>
      </c>
      <c r="P54" s="17" t="n">
        <f aca="false">IF(AND(P$4&gt;=IF($L54="",1,$L54),P$4&lt;=IF($M54="",12,$M54)),$O54,0)</f>
        <v>91</v>
      </c>
      <c r="Q54" s="17" t="n">
        <f aca="false">IF(AND(Q$4&gt;=IF($L54="",1,$L54),Q$4&lt;=IF($M54="",12,$M54)),$O54,0)</f>
        <v>91</v>
      </c>
      <c r="R54" s="17" t="n">
        <f aca="false">IF(AND(R$4&gt;=IF($L54="",1,$L54),R$4&lt;=IF($M54="",12,$M54)),$O54,0)</f>
        <v>91</v>
      </c>
      <c r="S54" s="17" t="n">
        <f aca="false">IF(AND(S$4&gt;=IF($L54="",1,$L54),S$4&lt;=IF($M54="",12,$M54)),$O54,0)</f>
        <v>91</v>
      </c>
      <c r="T54" s="17" t="n">
        <f aca="false">IF(AND(T$4&gt;=IF($L54="",1,$L54),T$4&lt;=IF($M54="",12,$M54)),$O54,0)</f>
        <v>91</v>
      </c>
      <c r="U54" s="17" t="n">
        <f aca="false">IF(AND(U$4&gt;=IF($L54="",1,$L54),U$4&lt;=IF($M54="",12,$M54)),$O54,0)</f>
        <v>91</v>
      </c>
      <c r="V54" s="17" t="n">
        <f aca="false">IF(AND(V$4&gt;=IF($L54="",1,$L54),V$4&lt;=IF($M54="",12,$M54)),$O54,0)</f>
        <v>91</v>
      </c>
      <c r="W54" s="17" t="n">
        <f aca="false">IF(AND(W$4&gt;=IF($L54="",1,$L54),W$4&lt;=IF($M54="",12,$M54)),$O54,0)</f>
        <v>91</v>
      </c>
      <c r="X54" s="17" t="n">
        <f aca="false">IF(AND(X$4&gt;=IF($L54="",1,$L54),X$4&lt;=IF($M54="",12,$M54)),$O54,0)</f>
        <v>91</v>
      </c>
      <c r="Y54" s="17" t="n">
        <f aca="false">IF(AND(Y$4&gt;=IF($L54="",1,$L54),Y$4&lt;=IF($M54="",12,$M54)),$O54,0)</f>
        <v>91</v>
      </c>
      <c r="Z54" s="17" t="n">
        <f aca="false">IF(AND(Z$4&gt;=IF($L54="",1,$L54),Z$4&lt;=IF($M54="",12,$M54)),$O54,0)</f>
        <v>91</v>
      </c>
      <c r="AA54" s="17" t="n">
        <f aca="false">IF(AND(AA$4&gt;=IF($L54="",1,$L54),AA$4&lt;=IF($M54="",12,$M54)),$O54,0)</f>
        <v>91</v>
      </c>
      <c r="AB54" s="18" t="n">
        <f aca="false">SUM(P54:AA54)</f>
        <v>1092</v>
      </c>
    </row>
    <row r="55" customFormat="false" ht="15" hidden="false" customHeight="false" outlineLevel="0" collapsed="false">
      <c r="A55" s="42" t="s">
        <v>311</v>
      </c>
      <c r="B55" s="25" t="s">
        <v>63</v>
      </c>
      <c r="C55" s="43" t="s">
        <v>252</v>
      </c>
      <c r="D55" s="44" t="s">
        <v>253</v>
      </c>
      <c r="E55" s="45" t="n">
        <v>1</v>
      </c>
      <c r="F55" s="40"/>
      <c r="G55" s="46" t="n">
        <f aca="false">IFERROR(IF($F55&gt;0,MAX(0,INDEX('XERO ACTUALS'!$T$5:$T$132,MATCH($A55,'XERO ACTUALS'!$A$5:$A$132,0))-$F55),INDEX('XERO ACTUALS'!$T$5:$T$132,MATCH($A55,'XERO ACTUALS'!$A$5:$A$132,0)))*IF($E55="",1,$E55),"")</f>
        <v>82</v>
      </c>
      <c r="H55" s="40" t="n">
        <v>82</v>
      </c>
      <c r="I55" s="26" t="s">
        <v>254</v>
      </c>
      <c r="J55" s="32"/>
      <c r="K55" s="27" t="n">
        <v>0</v>
      </c>
      <c r="L55" s="26" t="n">
        <v>1</v>
      </c>
      <c r="M55" s="26" t="n">
        <v>12</v>
      </c>
      <c r="N55" s="47" t="s">
        <v>255</v>
      </c>
      <c r="O55" s="18" t="n">
        <f aca="false">IF($N55="N",0,IF($A55="",0,(IF($J55&lt;&gt;"",$J55,IF($I55="BUDGET",IF($H55="",0,$H55),IF($G55="",0,$G55))))*(1+IF($K55="",0,$K55))))</f>
        <v>82</v>
      </c>
      <c r="P55" s="17" t="n">
        <f aca="false">IF(AND(P$4&gt;=IF($L55="",1,$L55),P$4&lt;=IF($M55="",12,$M55)),$O55,0)</f>
        <v>82</v>
      </c>
      <c r="Q55" s="17" t="n">
        <f aca="false">IF(AND(Q$4&gt;=IF($L55="",1,$L55),Q$4&lt;=IF($M55="",12,$M55)),$O55,0)</f>
        <v>82</v>
      </c>
      <c r="R55" s="17" t="n">
        <f aca="false">IF(AND(R$4&gt;=IF($L55="",1,$L55),R$4&lt;=IF($M55="",12,$M55)),$O55,0)</f>
        <v>82</v>
      </c>
      <c r="S55" s="17" t="n">
        <f aca="false">IF(AND(S$4&gt;=IF($L55="",1,$L55),S$4&lt;=IF($M55="",12,$M55)),$O55,0)</f>
        <v>82</v>
      </c>
      <c r="T55" s="17" t="n">
        <f aca="false">IF(AND(T$4&gt;=IF($L55="",1,$L55),T$4&lt;=IF($M55="",12,$M55)),$O55,0)</f>
        <v>82</v>
      </c>
      <c r="U55" s="17" t="n">
        <f aca="false">IF(AND(U$4&gt;=IF($L55="",1,$L55),U$4&lt;=IF($M55="",12,$M55)),$O55,0)</f>
        <v>82</v>
      </c>
      <c r="V55" s="17" t="n">
        <f aca="false">IF(AND(V$4&gt;=IF($L55="",1,$L55),V$4&lt;=IF($M55="",12,$M55)),$O55,0)</f>
        <v>82</v>
      </c>
      <c r="W55" s="17" t="n">
        <f aca="false">IF(AND(W$4&gt;=IF($L55="",1,$L55),W$4&lt;=IF($M55="",12,$M55)),$O55,0)</f>
        <v>82</v>
      </c>
      <c r="X55" s="17" t="n">
        <f aca="false">IF(AND(X$4&gt;=IF($L55="",1,$L55),X$4&lt;=IF($M55="",12,$M55)),$O55,0)</f>
        <v>82</v>
      </c>
      <c r="Y55" s="17" t="n">
        <f aca="false">IF(AND(Y$4&gt;=IF($L55="",1,$L55),Y$4&lt;=IF($M55="",12,$M55)),$O55,0)</f>
        <v>82</v>
      </c>
      <c r="Z55" s="17" t="n">
        <f aca="false">IF(AND(Z$4&gt;=IF($L55="",1,$L55),Z$4&lt;=IF($M55="",12,$M55)),$O55,0)</f>
        <v>82</v>
      </c>
      <c r="AA55" s="17" t="n">
        <f aca="false">IF(AND(AA$4&gt;=IF($L55="",1,$L55),AA$4&lt;=IF($M55="",12,$M55)),$O55,0)</f>
        <v>82</v>
      </c>
      <c r="AB55" s="18" t="n">
        <f aca="false">SUM(P55:AA55)</f>
        <v>984</v>
      </c>
    </row>
    <row r="56" customFormat="false" ht="15" hidden="false" customHeight="false" outlineLevel="0" collapsed="false">
      <c r="A56" s="42" t="s">
        <v>312</v>
      </c>
      <c r="B56" s="25" t="s">
        <v>63</v>
      </c>
      <c r="C56" s="43" t="s">
        <v>252</v>
      </c>
      <c r="D56" s="44" t="s">
        <v>253</v>
      </c>
      <c r="E56" s="45" t="n">
        <v>1</v>
      </c>
      <c r="F56" s="40"/>
      <c r="G56" s="46" t="n">
        <f aca="false">IFERROR(IF($F56&gt;0,MAX(0,INDEX('XERO ACTUALS'!$T$5:$T$132,MATCH($A56,'XERO ACTUALS'!$A$5:$A$132,0))-$F56),INDEX('XERO ACTUALS'!$T$5:$T$132,MATCH($A56,'XERO ACTUALS'!$A$5:$A$132,0)))*IF($E56="",1,$E56),"")</f>
        <v>35.54</v>
      </c>
      <c r="H56" s="40" t="n">
        <v>39</v>
      </c>
      <c r="I56" s="26" t="s">
        <v>254</v>
      </c>
      <c r="J56" s="32"/>
      <c r="K56" s="27" t="n">
        <v>0</v>
      </c>
      <c r="L56" s="26" t="n">
        <v>1</v>
      </c>
      <c r="M56" s="26" t="n">
        <v>12</v>
      </c>
      <c r="N56" s="47" t="s">
        <v>255</v>
      </c>
      <c r="O56" s="18" t="n">
        <f aca="false">IF($N56="N",0,IF($A56="",0,(IF($J56&lt;&gt;"",$J56,IF($I56="BUDGET",IF($H56="",0,$H56),IF($G56="",0,$G56))))*(1+IF($K56="",0,$K56))))</f>
        <v>35.54</v>
      </c>
      <c r="P56" s="17" t="n">
        <f aca="false">IF(AND(P$4&gt;=IF($L56="",1,$L56),P$4&lt;=IF($M56="",12,$M56)),$O56,0)</f>
        <v>35.54</v>
      </c>
      <c r="Q56" s="17" t="n">
        <f aca="false">IF(AND(Q$4&gt;=IF($L56="",1,$L56),Q$4&lt;=IF($M56="",12,$M56)),$O56,0)</f>
        <v>35.54</v>
      </c>
      <c r="R56" s="17" t="n">
        <f aca="false">IF(AND(R$4&gt;=IF($L56="",1,$L56),R$4&lt;=IF($M56="",12,$M56)),$O56,0)</f>
        <v>35.54</v>
      </c>
      <c r="S56" s="17" t="n">
        <f aca="false">IF(AND(S$4&gt;=IF($L56="",1,$L56),S$4&lt;=IF($M56="",12,$M56)),$O56,0)</f>
        <v>35.54</v>
      </c>
      <c r="T56" s="17" t="n">
        <f aca="false">IF(AND(T$4&gt;=IF($L56="",1,$L56),T$4&lt;=IF($M56="",12,$M56)),$O56,0)</f>
        <v>35.54</v>
      </c>
      <c r="U56" s="17" t="n">
        <f aca="false">IF(AND(U$4&gt;=IF($L56="",1,$L56),U$4&lt;=IF($M56="",12,$M56)),$O56,0)</f>
        <v>35.54</v>
      </c>
      <c r="V56" s="17" t="n">
        <f aca="false">IF(AND(V$4&gt;=IF($L56="",1,$L56),V$4&lt;=IF($M56="",12,$M56)),$O56,0)</f>
        <v>35.54</v>
      </c>
      <c r="W56" s="17" t="n">
        <f aca="false">IF(AND(W$4&gt;=IF($L56="",1,$L56),W$4&lt;=IF($M56="",12,$M56)),$O56,0)</f>
        <v>35.54</v>
      </c>
      <c r="X56" s="17" t="n">
        <f aca="false">IF(AND(X$4&gt;=IF($L56="",1,$L56),X$4&lt;=IF($M56="",12,$M56)),$O56,0)</f>
        <v>35.54</v>
      </c>
      <c r="Y56" s="17" t="n">
        <f aca="false">IF(AND(Y$4&gt;=IF($L56="",1,$L56),Y$4&lt;=IF($M56="",12,$M56)),$O56,0)</f>
        <v>35.54</v>
      </c>
      <c r="Z56" s="17" t="n">
        <f aca="false">IF(AND(Z$4&gt;=IF($L56="",1,$L56),Z$4&lt;=IF($M56="",12,$M56)),$O56,0)</f>
        <v>35.54</v>
      </c>
      <c r="AA56" s="17" t="n">
        <f aca="false">IF(AND(AA$4&gt;=IF($L56="",1,$L56),AA$4&lt;=IF($M56="",12,$M56)),$O56,0)</f>
        <v>35.54</v>
      </c>
      <c r="AB56" s="18" t="n">
        <f aca="false">SUM(P56:AA56)</f>
        <v>426.48</v>
      </c>
    </row>
    <row r="57" customFormat="false" ht="15" hidden="false" customHeight="false" outlineLevel="0" collapsed="false">
      <c r="A57" s="42" t="s">
        <v>313</v>
      </c>
      <c r="B57" s="25" t="s">
        <v>63</v>
      </c>
      <c r="C57" s="43" t="s">
        <v>260</v>
      </c>
      <c r="D57" s="44" t="s">
        <v>253</v>
      </c>
      <c r="E57" s="45" t="n">
        <v>1</v>
      </c>
      <c r="F57" s="40"/>
      <c r="G57" s="46" t="n">
        <f aca="false">IFERROR(IF($F57&gt;0,MAX(0,INDEX('XERO ACTUALS'!$T$5:$T$132,MATCH($A57,'XERO ACTUALS'!$A$5:$A$132,0))-$F57),INDEX('XERO ACTUALS'!$T$5:$T$132,MATCH($A57,'XERO ACTUALS'!$A$5:$A$132,0)))*IF($E57="",1,$E57),"")</f>
        <v>34.95</v>
      </c>
      <c r="H57" s="40"/>
      <c r="I57" s="26" t="s">
        <v>254</v>
      </c>
      <c r="J57" s="32"/>
      <c r="K57" s="27" t="n">
        <v>0</v>
      </c>
      <c r="L57" s="26" t="n">
        <v>1</v>
      </c>
      <c r="M57" s="26" t="n">
        <v>12</v>
      </c>
      <c r="N57" s="47" t="s">
        <v>255</v>
      </c>
      <c r="O57" s="18" t="n">
        <f aca="false">IF($N57="N",0,IF($A57="",0,(IF($J57&lt;&gt;"",$J57,IF($I57="BUDGET",IF($H57="",0,$H57),IF($G57="",0,$G57))))*(1+IF($K57="",0,$K57))))</f>
        <v>34.95</v>
      </c>
      <c r="P57" s="17" t="n">
        <f aca="false">IF(AND(P$4&gt;=IF($L57="",1,$L57),P$4&lt;=IF($M57="",12,$M57)),$O57,0)</f>
        <v>34.95</v>
      </c>
      <c r="Q57" s="17" t="n">
        <f aca="false">IF(AND(Q$4&gt;=IF($L57="",1,$L57),Q$4&lt;=IF($M57="",12,$M57)),$O57,0)</f>
        <v>34.95</v>
      </c>
      <c r="R57" s="17" t="n">
        <f aca="false">IF(AND(R$4&gt;=IF($L57="",1,$L57),R$4&lt;=IF($M57="",12,$M57)),$O57,0)</f>
        <v>34.95</v>
      </c>
      <c r="S57" s="17" t="n">
        <f aca="false">IF(AND(S$4&gt;=IF($L57="",1,$L57),S$4&lt;=IF($M57="",12,$M57)),$O57,0)</f>
        <v>34.95</v>
      </c>
      <c r="T57" s="17" t="n">
        <f aca="false">IF(AND(T$4&gt;=IF($L57="",1,$L57),T$4&lt;=IF($M57="",12,$M57)),$O57,0)</f>
        <v>34.95</v>
      </c>
      <c r="U57" s="17" t="n">
        <f aca="false">IF(AND(U$4&gt;=IF($L57="",1,$L57),U$4&lt;=IF($M57="",12,$M57)),$O57,0)</f>
        <v>34.95</v>
      </c>
      <c r="V57" s="17" t="n">
        <f aca="false">IF(AND(V$4&gt;=IF($L57="",1,$L57),V$4&lt;=IF($M57="",12,$M57)),$O57,0)</f>
        <v>34.95</v>
      </c>
      <c r="W57" s="17" t="n">
        <f aca="false">IF(AND(W$4&gt;=IF($L57="",1,$L57),W$4&lt;=IF($M57="",12,$M57)),$O57,0)</f>
        <v>34.95</v>
      </c>
      <c r="X57" s="17" t="n">
        <f aca="false">IF(AND(X$4&gt;=IF($L57="",1,$L57),X$4&lt;=IF($M57="",12,$M57)),$O57,0)</f>
        <v>34.95</v>
      </c>
      <c r="Y57" s="17" t="n">
        <f aca="false">IF(AND(Y$4&gt;=IF($L57="",1,$L57),Y$4&lt;=IF($M57="",12,$M57)),$O57,0)</f>
        <v>34.95</v>
      </c>
      <c r="Z57" s="17" t="n">
        <f aca="false">IF(AND(Z$4&gt;=IF($L57="",1,$L57),Z$4&lt;=IF($M57="",12,$M57)),$O57,0)</f>
        <v>34.95</v>
      </c>
      <c r="AA57" s="17" t="n">
        <f aca="false">IF(AND(AA$4&gt;=IF($L57="",1,$L57),AA$4&lt;=IF($M57="",12,$M57)),$O57,0)</f>
        <v>34.95</v>
      </c>
      <c r="AB57" s="18" t="n">
        <f aca="false">SUM(P57:AA57)</f>
        <v>419.4</v>
      </c>
    </row>
    <row r="58" customFormat="false" ht="15" hidden="false" customHeight="false" outlineLevel="0" collapsed="false">
      <c r="A58" s="16" t="s">
        <v>314</v>
      </c>
      <c r="B58" s="25" t="s">
        <v>63</v>
      </c>
      <c r="C58" s="43" t="s">
        <v>264</v>
      </c>
      <c r="D58" s="44" t="s">
        <v>265</v>
      </c>
      <c r="E58" s="45"/>
      <c r="F58" s="40"/>
      <c r="G58" s="46"/>
      <c r="H58" s="40" t="n">
        <v>24.5</v>
      </c>
      <c r="I58" s="26" t="s">
        <v>266</v>
      </c>
      <c r="J58" s="32"/>
      <c r="K58" s="27" t="n">
        <v>0</v>
      </c>
      <c r="L58" s="26" t="n">
        <v>1</v>
      </c>
      <c r="M58" s="26" t="n">
        <v>12</v>
      </c>
      <c r="N58" s="47" t="s">
        <v>267</v>
      </c>
      <c r="O58" s="18" t="n">
        <f aca="false">IF($N58="N",0,IF($A58="",0,(IF($J58&lt;&gt;"",$J58,IF($I58="BUDGET",IF($H58="",0,$H58),IF($G58="",0,$G58))))*(1+IF($K58="",0,$K58))))</f>
        <v>0</v>
      </c>
      <c r="P58" s="17" t="n">
        <f aca="false">IF(AND(P$4&gt;=IF($L58="",1,$L58),P$4&lt;=IF($M58="",12,$M58)),$O58,0)</f>
        <v>0</v>
      </c>
      <c r="Q58" s="17" t="n">
        <f aca="false">IF(AND(Q$4&gt;=IF($L58="",1,$L58),Q$4&lt;=IF($M58="",12,$M58)),$O58,0)</f>
        <v>0</v>
      </c>
      <c r="R58" s="17" t="n">
        <f aca="false">IF(AND(R$4&gt;=IF($L58="",1,$L58),R$4&lt;=IF($M58="",12,$M58)),$O58,0)</f>
        <v>0</v>
      </c>
      <c r="S58" s="17" t="n">
        <f aca="false">IF(AND(S$4&gt;=IF($L58="",1,$L58),S$4&lt;=IF($M58="",12,$M58)),$O58,0)</f>
        <v>0</v>
      </c>
      <c r="T58" s="17" t="n">
        <f aca="false">IF(AND(T$4&gt;=IF($L58="",1,$L58),T$4&lt;=IF($M58="",12,$M58)),$O58,0)</f>
        <v>0</v>
      </c>
      <c r="U58" s="17" t="n">
        <f aca="false">IF(AND(U$4&gt;=IF($L58="",1,$L58),U$4&lt;=IF($M58="",12,$M58)),$O58,0)</f>
        <v>0</v>
      </c>
      <c r="V58" s="17" t="n">
        <f aca="false">IF(AND(V$4&gt;=IF($L58="",1,$L58),V$4&lt;=IF($M58="",12,$M58)),$O58,0)</f>
        <v>0</v>
      </c>
      <c r="W58" s="17" t="n">
        <f aca="false">IF(AND(W$4&gt;=IF($L58="",1,$L58),W$4&lt;=IF($M58="",12,$M58)),$O58,0)</f>
        <v>0</v>
      </c>
      <c r="X58" s="17" t="n">
        <f aca="false">IF(AND(X$4&gt;=IF($L58="",1,$L58),X$4&lt;=IF($M58="",12,$M58)),$O58,0)</f>
        <v>0</v>
      </c>
      <c r="Y58" s="17" t="n">
        <f aca="false">IF(AND(Y$4&gt;=IF($L58="",1,$L58),Y$4&lt;=IF($M58="",12,$M58)),$O58,0)</f>
        <v>0</v>
      </c>
      <c r="Z58" s="17" t="n">
        <f aca="false">IF(AND(Z$4&gt;=IF($L58="",1,$L58),Z$4&lt;=IF($M58="",12,$M58)),$O58,0)</f>
        <v>0</v>
      </c>
      <c r="AA58" s="17" t="n">
        <f aca="false">IF(AND(AA$4&gt;=IF($L58="",1,$L58),AA$4&lt;=IF($M58="",12,$M58)),$O58,0)</f>
        <v>0</v>
      </c>
      <c r="AB58" s="18" t="n">
        <f aca="false">SUM(P58:AA58)</f>
        <v>0</v>
      </c>
    </row>
    <row r="59" customFormat="false" ht="15" hidden="false" customHeight="false" outlineLevel="0" collapsed="false">
      <c r="A59" s="42" t="s">
        <v>315</v>
      </c>
      <c r="B59" s="25" t="s">
        <v>63</v>
      </c>
      <c r="C59" s="43" t="s">
        <v>252</v>
      </c>
      <c r="D59" s="44" t="s">
        <v>253</v>
      </c>
      <c r="E59" s="45" t="n">
        <v>1</v>
      </c>
      <c r="F59" s="40"/>
      <c r="G59" s="46" t="n">
        <f aca="false">IFERROR(IF($F59&gt;0,MAX(0,INDEX('XERO ACTUALS'!$T$5:$T$132,MATCH($A59,'XERO ACTUALS'!$A$5:$A$132,0))-$F59),INDEX('XERO ACTUALS'!$T$5:$T$132,MATCH($A59,'XERO ACTUALS'!$A$5:$A$132,0)))*IF($E59="",1,$E59),"")</f>
        <v>20</v>
      </c>
      <c r="H59" s="40" t="n">
        <v>8.33</v>
      </c>
      <c r="I59" s="26" t="s">
        <v>254</v>
      </c>
      <c r="J59" s="32"/>
      <c r="K59" s="27" t="n">
        <v>0</v>
      </c>
      <c r="L59" s="26" t="n">
        <v>1</v>
      </c>
      <c r="M59" s="26" t="n">
        <v>12</v>
      </c>
      <c r="N59" s="47" t="s">
        <v>255</v>
      </c>
      <c r="O59" s="18" t="n">
        <f aca="false">IF($N59="N",0,IF($A59="",0,(IF($J59&lt;&gt;"",$J59,IF($I59="BUDGET",IF($H59="",0,$H59),IF($G59="",0,$G59))))*(1+IF($K59="",0,$K59))))</f>
        <v>20</v>
      </c>
      <c r="P59" s="17" t="n">
        <f aca="false">IF(AND(P$4&gt;=IF($L59="",1,$L59),P$4&lt;=IF($M59="",12,$M59)),$O59,0)</f>
        <v>20</v>
      </c>
      <c r="Q59" s="17" t="n">
        <f aca="false">IF(AND(Q$4&gt;=IF($L59="",1,$L59),Q$4&lt;=IF($M59="",12,$M59)),$O59,0)</f>
        <v>20</v>
      </c>
      <c r="R59" s="17" t="n">
        <f aca="false">IF(AND(R$4&gt;=IF($L59="",1,$L59),R$4&lt;=IF($M59="",12,$M59)),$O59,0)</f>
        <v>20</v>
      </c>
      <c r="S59" s="17" t="n">
        <f aca="false">IF(AND(S$4&gt;=IF($L59="",1,$L59),S$4&lt;=IF($M59="",12,$M59)),$O59,0)</f>
        <v>20</v>
      </c>
      <c r="T59" s="17" t="n">
        <f aca="false">IF(AND(T$4&gt;=IF($L59="",1,$L59),T$4&lt;=IF($M59="",12,$M59)),$O59,0)</f>
        <v>20</v>
      </c>
      <c r="U59" s="17" t="n">
        <f aca="false">IF(AND(U$4&gt;=IF($L59="",1,$L59),U$4&lt;=IF($M59="",12,$M59)),$O59,0)</f>
        <v>20</v>
      </c>
      <c r="V59" s="17" t="n">
        <f aca="false">IF(AND(V$4&gt;=IF($L59="",1,$L59),V$4&lt;=IF($M59="",12,$M59)),$O59,0)</f>
        <v>20</v>
      </c>
      <c r="W59" s="17" t="n">
        <f aca="false">IF(AND(W$4&gt;=IF($L59="",1,$L59),W$4&lt;=IF($M59="",12,$M59)),$O59,0)</f>
        <v>20</v>
      </c>
      <c r="X59" s="17" t="n">
        <f aca="false">IF(AND(X$4&gt;=IF($L59="",1,$L59),X$4&lt;=IF($M59="",12,$M59)),$O59,0)</f>
        <v>20</v>
      </c>
      <c r="Y59" s="17" t="n">
        <f aca="false">IF(AND(Y$4&gt;=IF($L59="",1,$L59),Y$4&lt;=IF($M59="",12,$M59)),$O59,0)</f>
        <v>20</v>
      </c>
      <c r="Z59" s="17" t="n">
        <f aca="false">IF(AND(Z$4&gt;=IF($L59="",1,$L59),Z$4&lt;=IF($M59="",12,$M59)),$O59,0)</f>
        <v>20</v>
      </c>
      <c r="AA59" s="17" t="n">
        <f aca="false">IF(AND(AA$4&gt;=IF($L59="",1,$L59),AA$4&lt;=IF($M59="",12,$M59)),$O59,0)</f>
        <v>20</v>
      </c>
      <c r="AB59" s="18" t="n">
        <f aca="false">SUM(P59:AA59)</f>
        <v>240</v>
      </c>
    </row>
    <row r="60" customFormat="false" ht="15" hidden="false" customHeight="false" outlineLevel="0" collapsed="false">
      <c r="A60" s="16" t="s">
        <v>316</v>
      </c>
      <c r="B60" s="25" t="s">
        <v>63</v>
      </c>
      <c r="C60" s="43" t="s">
        <v>264</v>
      </c>
      <c r="D60" s="44" t="s">
        <v>265</v>
      </c>
      <c r="E60" s="45"/>
      <c r="F60" s="40"/>
      <c r="G60" s="46"/>
      <c r="H60" s="40" t="n">
        <v>8</v>
      </c>
      <c r="I60" s="26" t="s">
        <v>266</v>
      </c>
      <c r="J60" s="32"/>
      <c r="K60" s="27" t="n">
        <v>0</v>
      </c>
      <c r="L60" s="26" t="n">
        <v>1</v>
      </c>
      <c r="M60" s="26" t="n">
        <v>12</v>
      </c>
      <c r="N60" s="47" t="s">
        <v>267</v>
      </c>
      <c r="O60" s="18" t="n">
        <f aca="false">IF($N60="N",0,IF($A60="",0,(IF($J60&lt;&gt;"",$J60,IF($I60="BUDGET",IF($H60="",0,$H60),IF($G60="",0,$G60))))*(1+IF($K60="",0,$K60))))</f>
        <v>0</v>
      </c>
      <c r="P60" s="17" t="n">
        <f aca="false">IF(AND(P$4&gt;=IF($L60="",1,$L60),P$4&lt;=IF($M60="",12,$M60)),$O60,0)</f>
        <v>0</v>
      </c>
      <c r="Q60" s="17" t="n">
        <f aca="false">IF(AND(Q$4&gt;=IF($L60="",1,$L60),Q$4&lt;=IF($M60="",12,$M60)),$O60,0)</f>
        <v>0</v>
      </c>
      <c r="R60" s="17" t="n">
        <f aca="false">IF(AND(R$4&gt;=IF($L60="",1,$L60),R$4&lt;=IF($M60="",12,$M60)),$O60,0)</f>
        <v>0</v>
      </c>
      <c r="S60" s="17" t="n">
        <f aca="false">IF(AND(S$4&gt;=IF($L60="",1,$L60),S$4&lt;=IF($M60="",12,$M60)),$O60,0)</f>
        <v>0</v>
      </c>
      <c r="T60" s="17" t="n">
        <f aca="false">IF(AND(T$4&gt;=IF($L60="",1,$L60),T$4&lt;=IF($M60="",12,$M60)),$O60,0)</f>
        <v>0</v>
      </c>
      <c r="U60" s="17" t="n">
        <f aca="false">IF(AND(U$4&gt;=IF($L60="",1,$L60),U$4&lt;=IF($M60="",12,$M60)),$O60,0)</f>
        <v>0</v>
      </c>
      <c r="V60" s="17" t="n">
        <f aca="false">IF(AND(V$4&gt;=IF($L60="",1,$L60),V$4&lt;=IF($M60="",12,$M60)),$O60,0)</f>
        <v>0</v>
      </c>
      <c r="W60" s="17" t="n">
        <f aca="false">IF(AND(W$4&gt;=IF($L60="",1,$L60),W$4&lt;=IF($M60="",12,$M60)),$O60,0)</f>
        <v>0</v>
      </c>
      <c r="X60" s="17" t="n">
        <f aca="false">IF(AND(X$4&gt;=IF($L60="",1,$L60),X$4&lt;=IF($M60="",12,$M60)),$O60,0)</f>
        <v>0</v>
      </c>
      <c r="Y60" s="17" t="n">
        <f aca="false">IF(AND(Y$4&gt;=IF($L60="",1,$L60),Y$4&lt;=IF($M60="",12,$M60)),$O60,0)</f>
        <v>0</v>
      </c>
      <c r="Z60" s="17" t="n">
        <f aca="false">IF(AND(Z$4&gt;=IF($L60="",1,$L60),Z$4&lt;=IF($M60="",12,$M60)),$O60,0)</f>
        <v>0</v>
      </c>
      <c r="AA60" s="17" t="n">
        <f aca="false">IF(AND(AA$4&gt;=IF($L60="",1,$L60),AA$4&lt;=IF($M60="",12,$M60)),$O60,0)</f>
        <v>0</v>
      </c>
      <c r="AB60" s="18" t="n">
        <f aca="false">SUM(P60:AA60)</f>
        <v>0</v>
      </c>
    </row>
    <row r="61" customFormat="false" ht="15" hidden="false" customHeight="false" outlineLevel="0" collapsed="false">
      <c r="A61" s="16" t="s">
        <v>317</v>
      </c>
      <c r="B61" s="25" t="s">
        <v>63</v>
      </c>
      <c r="C61" s="43" t="s">
        <v>264</v>
      </c>
      <c r="D61" s="44" t="s">
        <v>265</v>
      </c>
      <c r="E61" s="45"/>
      <c r="F61" s="40"/>
      <c r="G61" s="46"/>
      <c r="H61" s="40" t="n">
        <v>0</v>
      </c>
      <c r="I61" s="26" t="s">
        <v>266</v>
      </c>
      <c r="J61" s="32"/>
      <c r="K61" s="27" t="n">
        <v>0</v>
      </c>
      <c r="L61" s="26" t="n">
        <v>1</v>
      </c>
      <c r="M61" s="26" t="n">
        <v>12</v>
      </c>
      <c r="N61" s="47" t="s">
        <v>267</v>
      </c>
      <c r="O61" s="18" t="n">
        <f aca="false">IF($N61="N",0,IF($A61="",0,(IF($J61&lt;&gt;"",$J61,IF($I61="BUDGET",IF($H61="",0,$H61),IF($G61="",0,$G61))))*(1+IF($K61="",0,$K61))))</f>
        <v>0</v>
      </c>
      <c r="P61" s="17" t="n">
        <f aca="false">IF(AND(P$4&gt;=IF($L61="",1,$L61),P$4&lt;=IF($M61="",12,$M61)),$O61,0)</f>
        <v>0</v>
      </c>
      <c r="Q61" s="17" t="n">
        <f aca="false">IF(AND(Q$4&gt;=IF($L61="",1,$L61),Q$4&lt;=IF($M61="",12,$M61)),$O61,0)</f>
        <v>0</v>
      </c>
      <c r="R61" s="17" t="n">
        <f aca="false">IF(AND(R$4&gt;=IF($L61="",1,$L61),R$4&lt;=IF($M61="",12,$M61)),$O61,0)</f>
        <v>0</v>
      </c>
      <c r="S61" s="17" t="n">
        <f aca="false">IF(AND(S$4&gt;=IF($L61="",1,$L61),S$4&lt;=IF($M61="",12,$M61)),$O61,0)</f>
        <v>0</v>
      </c>
      <c r="T61" s="17" t="n">
        <f aca="false">IF(AND(T$4&gt;=IF($L61="",1,$L61),T$4&lt;=IF($M61="",12,$M61)),$O61,0)</f>
        <v>0</v>
      </c>
      <c r="U61" s="17" t="n">
        <f aca="false">IF(AND(U$4&gt;=IF($L61="",1,$L61),U$4&lt;=IF($M61="",12,$M61)),$O61,0)</f>
        <v>0</v>
      </c>
      <c r="V61" s="17" t="n">
        <f aca="false">IF(AND(V$4&gt;=IF($L61="",1,$L61),V$4&lt;=IF($M61="",12,$M61)),$O61,0)</f>
        <v>0</v>
      </c>
      <c r="W61" s="17" t="n">
        <f aca="false">IF(AND(W$4&gt;=IF($L61="",1,$L61),W$4&lt;=IF($M61="",12,$M61)),$O61,0)</f>
        <v>0</v>
      </c>
      <c r="X61" s="17" t="n">
        <f aca="false">IF(AND(X$4&gt;=IF($L61="",1,$L61),X$4&lt;=IF($M61="",12,$M61)),$O61,0)</f>
        <v>0</v>
      </c>
      <c r="Y61" s="17" t="n">
        <f aca="false">IF(AND(Y$4&gt;=IF($L61="",1,$L61),Y$4&lt;=IF($M61="",12,$M61)),$O61,0)</f>
        <v>0</v>
      </c>
      <c r="Z61" s="17" t="n">
        <f aca="false">IF(AND(Z$4&gt;=IF($L61="",1,$L61),Z$4&lt;=IF($M61="",12,$M61)),$O61,0)</f>
        <v>0</v>
      </c>
      <c r="AA61" s="17" t="n">
        <f aca="false">IF(AND(AA$4&gt;=IF($L61="",1,$L61),AA$4&lt;=IF($M61="",12,$M61)),$O61,0)</f>
        <v>0</v>
      </c>
      <c r="AB61" s="18" t="n">
        <f aca="false">SUM(P61:AA61)</f>
        <v>0</v>
      </c>
    </row>
    <row r="62" customFormat="false" ht="15" hidden="false" customHeight="false" outlineLevel="0" collapsed="false">
      <c r="A62" s="16" t="s">
        <v>318</v>
      </c>
      <c r="B62" s="25" t="s">
        <v>64</v>
      </c>
      <c r="C62" s="43" t="s">
        <v>264</v>
      </c>
      <c r="D62" s="44" t="s">
        <v>265</v>
      </c>
      <c r="E62" s="45"/>
      <c r="F62" s="40"/>
      <c r="G62" s="46"/>
      <c r="H62" s="40" t="n">
        <v>2000</v>
      </c>
      <c r="I62" s="26" t="s">
        <v>266</v>
      </c>
      <c r="J62" s="32"/>
      <c r="K62" s="27" t="n">
        <v>0</v>
      </c>
      <c r="L62" s="26" t="n">
        <v>1</v>
      </c>
      <c r="M62" s="26" t="n">
        <v>12</v>
      </c>
      <c r="N62" s="47" t="s">
        <v>267</v>
      </c>
      <c r="O62" s="18" t="n">
        <f aca="false">IF($N62="N",0,IF($A62="",0,(IF($J62&lt;&gt;"",$J62,IF($I62="BUDGET",IF($H62="",0,$H62),IF($G62="",0,$G62))))*(1+IF($K62="",0,$K62))))</f>
        <v>0</v>
      </c>
      <c r="P62" s="17" t="n">
        <f aca="false">IF(AND(P$4&gt;=IF($L62="",1,$L62),P$4&lt;=IF($M62="",12,$M62)),$O62,0)</f>
        <v>0</v>
      </c>
      <c r="Q62" s="17" t="n">
        <f aca="false">IF(AND(Q$4&gt;=IF($L62="",1,$L62),Q$4&lt;=IF($M62="",12,$M62)),$O62,0)</f>
        <v>0</v>
      </c>
      <c r="R62" s="17" t="n">
        <f aca="false">IF(AND(R$4&gt;=IF($L62="",1,$L62),R$4&lt;=IF($M62="",12,$M62)),$O62,0)</f>
        <v>0</v>
      </c>
      <c r="S62" s="17" t="n">
        <f aca="false">IF(AND(S$4&gt;=IF($L62="",1,$L62),S$4&lt;=IF($M62="",12,$M62)),$O62,0)</f>
        <v>0</v>
      </c>
      <c r="T62" s="17" t="n">
        <f aca="false">IF(AND(T$4&gt;=IF($L62="",1,$L62),T$4&lt;=IF($M62="",12,$M62)),$O62,0)</f>
        <v>0</v>
      </c>
      <c r="U62" s="17" t="n">
        <f aca="false">IF(AND(U$4&gt;=IF($L62="",1,$L62),U$4&lt;=IF($M62="",12,$M62)),$O62,0)</f>
        <v>0</v>
      </c>
      <c r="V62" s="17" t="n">
        <f aca="false">IF(AND(V$4&gt;=IF($L62="",1,$L62),V$4&lt;=IF($M62="",12,$M62)),$O62,0)</f>
        <v>0</v>
      </c>
      <c r="W62" s="17" t="n">
        <f aca="false">IF(AND(W$4&gt;=IF($L62="",1,$L62),W$4&lt;=IF($M62="",12,$M62)),$O62,0)</f>
        <v>0</v>
      </c>
      <c r="X62" s="17" t="n">
        <f aca="false">IF(AND(X$4&gt;=IF($L62="",1,$L62),X$4&lt;=IF($M62="",12,$M62)),$O62,0)</f>
        <v>0</v>
      </c>
      <c r="Y62" s="17" t="n">
        <f aca="false">IF(AND(Y$4&gt;=IF($L62="",1,$L62),Y$4&lt;=IF($M62="",12,$M62)),$O62,0)</f>
        <v>0</v>
      </c>
      <c r="Z62" s="17" t="n">
        <f aca="false">IF(AND(Z$4&gt;=IF($L62="",1,$L62),Z$4&lt;=IF($M62="",12,$M62)),$O62,0)</f>
        <v>0</v>
      </c>
      <c r="AA62" s="17" t="n">
        <f aca="false">IF(AND(AA$4&gt;=IF($L62="",1,$L62),AA$4&lt;=IF($M62="",12,$M62)),$O62,0)</f>
        <v>0</v>
      </c>
      <c r="AB62" s="18" t="n">
        <f aca="false">SUM(P62:AA62)</f>
        <v>0</v>
      </c>
    </row>
    <row r="63" customFormat="false" ht="15" hidden="false" customHeight="false" outlineLevel="0" collapsed="false">
      <c r="A63" s="42" t="s">
        <v>319</v>
      </c>
      <c r="B63" s="25" t="s">
        <v>64</v>
      </c>
      <c r="C63" s="43" t="s">
        <v>252</v>
      </c>
      <c r="D63" s="44" t="s">
        <v>253</v>
      </c>
      <c r="E63" s="45" t="n">
        <v>0.357</v>
      </c>
      <c r="F63" s="40"/>
      <c r="G63" s="46" t="n">
        <f aca="false">IFERROR(IF($F63&gt;0,MAX(0,INDEX('XERO ACTUALS'!$T$5:$T$132,MATCH($A63,'XERO ACTUALS'!$A$5:$A$132,0))-$F63),INDEX('XERO ACTUALS'!$T$5:$T$132,MATCH($A63,'XERO ACTUALS'!$A$5:$A$132,0)))*IF($E63="",1,$E63),"")</f>
        <v>1354.458</v>
      </c>
      <c r="H63" s="40" t="n">
        <v>1211.76</v>
      </c>
      <c r="I63" s="26" t="s">
        <v>254</v>
      </c>
      <c r="J63" s="32"/>
      <c r="K63" s="27" t="n">
        <v>0</v>
      </c>
      <c r="L63" s="26" t="n">
        <v>1</v>
      </c>
      <c r="M63" s="26" t="n">
        <v>12</v>
      </c>
      <c r="N63" s="47" t="s">
        <v>255</v>
      </c>
      <c r="O63" s="18" t="n">
        <f aca="false">IF($N63="N",0,IF($A63="",0,(IF($J63&lt;&gt;"",$J63,IF($I63="BUDGET",IF($H63="",0,$H63),IF($G63="",0,$G63))))*(1+IF($K63="",0,$K63))))</f>
        <v>1354.458</v>
      </c>
      <c r="P63" s="17" t="n">
        <f aca="false">IF(AND(P$4&gt;=IF($L63="",1,$L63),P$4&lt;=IF($M63="",12,$M63)),$O63,0)</f>
        <v>1354.458</v>
      </c>
      <c r="Q63" s="17" t="n">
        <f aca="false">IF(AND(Q$4&gt;=IF($L63="",1,$L63),Q$4&lt;=IF($M63="",12,$M63)),$O63,0)</f>
        <v>1354.458</v>
      </c>
      <c r="R63" s="17" t="n">
        <f aca="false">IF(AND(R$4&gt;=IF($L63="",1,$L63),R$4&lt;=IF($M63="",12,$M63)),$O63,0)</f>
        <v>1354.458</v>
      </c>
      <c r="S63" s="17" t="n">
        <f aca="false">IF(AND(S$4&gt;=IF($L63="",1,$L63),S$4&lt;=IF($M63="",12,$M63)),$O63,0)</f>
        <v>1354.458</v>
      </c>
      <c r="T63" s="17" t="n">
        <f aca="false">IF(AND(T$4&gt;=IF($L63="",1,$L63),T$4&lt;=IF($M63="",12,$M63)),$O63,0)</f>
        <v>1354.458</v>
      </c>
      <c r="U63" s="17" t="n">
        <f aca="false">IF(AND(U$4&gt;=IF($L63="",1,$L63),U$4&lt;=IF($M63="",12,$M63)),$O63,0)</f>
        <v>1354.458</v>
      </c>
      <c r="V63" s="17" t="n">
        <f aca="false">IF(AND(V$4&gt;=IF($L63="",1,$L63),V$4&lt;=IF($M63="",12,$M63)),$O63,0)</f>
        <v>1354.458</v>
      </c>
      <c r="W63" s="17" t="n">
        <f aca="false">IF(AND(W$4&gt;=IF($L63="",1,$L63),W$4&lt;=IF($M63="",12,$M63)),$O63,0)</f>
        <v>1354.458</v>
      </c>
      <c r="X63" s="17" t="n">
        <f aca="false">IF(AND(X$4&gt;=IF($L63="",1,$L63),X$4&lt;=IF($M63="",12,$M63)),$O63,0)</f>
        <v>1354.458</v>
      </c>
      <c r="Y63" s="17" t="n">
        <f aca="false">IF(AND(Y$4&gt;=IF($L63="",1,$L63),Y$4&lt;=IF($M63="",12,$M63)),$O63,0)</f>
        <v>1354.458</v>
      </c>
      <c r="Z63" s="17" t="n">
        <f aca="false">IF(AND(Z$4&gt;=IF($L63="",1,$L63),Z$4&lt;=IF($M63="",12,$M63)),$O63,0)</f>
        <v>1354.458</v>
      </c>
      <c r="AA63" s="17" t="n">
        <f aca="false">IF(AND(AA$4&gt;=IF($L63="",1,$L63),AA$4&lt;=IF($M63="",12,$M63)),$O63,0)</f>
        <v>1354.458</v>
      </c>
      <c r="AB63" s="18" t="n">
        <f aca="false">SUM(P63:AA63)</f>
        <v>16253.496</v>
      </c>
    </row>
    <row r="64" customFormat="false" ht="15" hidden="false" customHeight="false" outlineLevel="0" collapsed="false">
      <c r="A64" s="42" t="s">
        <v>320</v>
      </c>
      <c r="B64" s="25" t="s">
        <v>64</v>
      </c>
      <c r="C64" s="43" t="s">
        <v>260</v>
      </c>
      <c r="D64" s="44" t="s">
        <v>253</v>
      </c>
      <c r="E64" s="45" t="n">
        <v>1</v>
      </c>
      <c r="F64" s="40"/>
      <c r="G64" s="46" t="n">
        <f aca="false">IFERROR(IF($F64&gt;0,MAX(0,INDEX('XERO ACTUALS'!$T$5:$T$132,MATCH($A64,'XERO ACTUALS'!$A$5:$A$132,0))-$F64),INDEX('XERO ACTUALS'!$T$5:$T$132,MATCH($A64,'XERO ACTUALS'!$A$5:$A$132,0)))*IF($E64="",1,$E64),"")</f>
        <v>288.4</v>
      </c>
      <c r="H64" s="40"/>
      <c r="I64" s="26" t="s">
        <v>254</v>
      </c>
      <c r="J64" s="32"/>
      <c r="K64" s="27" t="n">
        <v>0</v>
      </c>
      <c r="L64" s="26" t="n">
        <v>1</v>
      </c>
      <c r="M64" s="26" t="n">
        <v>12</v>
      </c>
      <c r="N64" s="47" t="s">
        <v>255</v>
      </c>
      <c r="O64" s="18" t="n">
        <f aca="false">IF($N64="N",0,IF($A64="",0,(IF($J64&lt;&gt;"",$J64,IF($I64="BUDGET",IF($H64="",0,$H64),IF($G64="",0,$G64))))*(1+IF($K64="",0,$K64))))</f>
        <v>288.4</v>
      </c>
      <c r="P64" s="17" t="n">
        <f aca="false">IF(AND(P$4&gt;=IF($L64="",1,$L64),P$4&lt;=IF($M64="",12,$M64)),$O64,0)</f>
        <v>288.4</v>
      </c>
      <c r="Q64" s="17" t="n">
        <f aca="false">IF(AND(Q$4&gt;=IF($L64="",1,$L64),Q$4&lt;=IF($M64="",12,$M64)),$O64,0)</f>
        <v>288.4</v>
      </c>
      <c r="R64" s="17" t="n">
        <f aca="false">IF(AND(R$4&gt;=IF($L64="",1,$L64),R$4&lt;=IF($M64="",12,$M64)),$O64,0)</f>
        <v>288.4</v>
      </c>
      <c r="S64" s="17" t="n">
        <f aca="false">IF(AND(S$4&gt;=IF($L64="",1,$L64),S$4&lt;=IF($M64="",12,$M64)),$O64,0)</f>
        <v>288.4</v>
      </c>
      <c r="T64" s="17" t="n">
        <f aca="false">IF(AND(T$4&gt;=IF($L64="",1,$L64),T$4&lt;=IF($M64="",12,$M64)),$O64,0)</f>
        <v>288.4</v>
      </c>
      <c r="U64" s="17" t="n">
        <f aca="false">IF(AND(U$4&gt;=IF($L64="",1,$L64),U$4&lt;=IF($M64="",12,$M64)),$O64,0)</f>
        <v>288.4</v>
      </c>
      <c r="V64" s="17" t="n">
        <f aca="false">IF(AND(V$4&gt;=IF($L64="",1,$L64),V$4&lt;=IF($M64="",12,$M64)),$O64,0)</f>
        <v>288.4</v>
      </c>
      <c r="W64" s="17" t="n">
        <f aca="false">IF(AND(W$4&gt;=IF($L64="",1,$L64),W$4&lt;=IF($M64="",12,$M64)),$O64,0)</f>
        <v>288.4</v>
      </c>
      <c r="X64" s="17" t="n">
        <f aca="false">IF(AND(X$4&gt;=IF($L64="",1,$L64),X$4&lt;=IF($M64="",12,$M64)),$O64,0)</f>
        <v>288.4</v>
      </c>
      <c r="Y64" s="17" t="n">
        <f aca="false">IF(AND(Y$4&gt;=IF($L64="",1,$L64),Y$4&lt;=IF($M64="",12,$M64)),$O64,0)</f>
        <v>288.4</v>
      </c>
      <c r="Z64" s="17" t="n">
        <f aca="false">IF(AND(Z$4&gt;=IF($L64="",1,$L64),Z$4&lt;=IF($M64="",12,$M64)),$O64,0)</f>
        <v>288.4</v>
      </c>
      <c r="AA64" s="17" t="n">
        <f aca="false">IF(AND(AA$4&gt;=IF($L64="",1,$L64),AA$4&lt;=IF($M64="",12,$M64)),$O64,0)</f>
        <v>288.4</v>
      </c>
      <c r="AB64" s="18" t="n">
        <f aca="false">SUM(P64:AA64)</f>
        <v>3460.8</v>
      </c>
    </row>
    <row r="65" customFormat="false" ht="15" hidden="false" customHeight="false" outlineLevel="0" collapsed="false">
      <c r="A65" s="16" t="s">
        <v>321</v>
      </c>
      <c r="B65" s="25" t="s">
        <v>64</v>
      </c>
      <c r="C65" s="43" t="s">
        <v>264</v>
      </c>
      <c r="D65" s="44" t="s">
        <v>265</v>
      </c>
      <c r="E65" s="45"/>
      <c r="F65" s="40"/>
      <c r="G65" s="46"/>
      <c r="H65" s="40" t="n">
        <v>280</v>
      </c>
      <c r="I65" s="26" t="s">
        <v>266</v>
      </c>
      <c r="J65" s="32"/>
      <c r="K65" s="27" t="n">
        <v>0</v>
      </c>
      <c r="L65" s="26" t="n">
        <v>1</v>
      </c>
      <c r="M65" s="26" t="n">
        <v>12</v>
      </c>
      <c r="N65" s="47" t="s">
        <v>267</v>
      </c>
      <c r="O65" s="18" t="n">
        <f aca="false">IF($N65="N",0,IF($A65="",0,(IF($J65&lt;&gt;"",$J65,IF($I65="BUDGET",IF($H65="",0,$H65),IF($G65="",0,$G65))))*(1+IF($K65="",0,$K65))))</f>
        <v>0</v>
      </c>
      <c r="P65" s="17" t="n">
        <f aca="false">IF(AND(P$4&gt;=IF($L65="",1,$L65),P$4&lt;=IF($M65="",12,$M65)),$O65,0)</f>
        <v>0</v>
      </c>
      <c r="Q65" s="17" t="n">
        <f aca="false">IF(AND(Q$4&gt;=IF($L65="",1,$L65),Q$4&lt;=IF($M65="",12,$M65)),$O65,0)</f>
        <v>0</v>
      </c>
      <c r="R65" s="17" t="n">
        <f aca="false">IF(AND(R$4&gt;=IF($L65="",1,$L65),R$4&lt;=IF($M65="",12,$M65)),$O65,0)</f>
        <v>0</v>
      </c>
      <c r="S65" s="17" t="n">
        <f aca="false">IF(AND(S$4&gt;=IF($L65="",1,$L65),S$4&lt;=IF($M65="",12,$M65)),$O65,0)</f>
        <v>0</v>
      </c>
      <c r="T65" s="17" t="n">
        <f aca="false">IF(AND(T$4&gt;=IF($L65="",1,$L65),T$4&lt;=IF($M65="",12,$M65)),$O65,0)</f>
        <v>0</v>
      </c>
      <c r="U65" s="17" t="n">
        <f aca="false">IF(AND(U$4&gt;=IF($L65="",1,$L65),U$4&lt;=IF($M65="",12,$M65)),$O65,0)</f>
        <v>0</v>
      </c>
      <c r="V65" s="17" t="n">
        <f aca="false">IF(AND(V$4&gt;=IF($L65="",1,$L65),V$4&lt;=IF($M65="",12,$M65)),$O65,0)</f>
        <v>0</v>
      </c>
      <c r="W65" s="17" t="n">
        <f aca="false">IF(AND(W$4&gt;=IF($L65="",1,$L65),W$4&lt;=IF($M65="",12,$M65)),$O65,0)</f>
        <v>0</v>
      </c>
      <c r="X65" s="17" t="n">
        <f aca="false">IF(AND(X$4&gt;=IF($L65="",1,$L65),X$4&lt;=IF($M65="",12,$M65)),$O65,0)</f>
        <v>0</v>
      </c>
      <c r="Y65" s="17" t="n">
        <f aca="false">IF(AND(Y$4&gt;=IF($L65="",1,$L65),Y$4&lt;=IF($M65="",12,$M65)),$O65,0)</f>
        <v>0</v>
      </c>
      <c r="Z65" s="17" t="n">
        <f aca="false">IF(AND(Z$4&gt;=IF($L65="",1,$L65),Z$4&lt;=IF($M65="",12,$M65)),$O65,0)</f>
        <v>0</v>
      </c>
      <c r="AA65" s="17" t="n">
        <f aca="false">IF(AND(AA$4&gt;=IF($L65="",1,$L65),AA$4&lt;=IF($M65="",12,$M65)),$O65,0)</f>
        <v>0</v>
      </c>
      <c r="AB65" s="18" t="n">
        <f aca="false">SUM(P65:AA65)</f>
        <v>0</v>
      </c>
    </row>
    <row r="66" customFormat="false" ht="15" hidden="false" customHeight="false" outlineLevel="0" collapsed="false">
      <c r="A66" s="42" t="s">
        <v>322</v>
      </c>
      <c r="B66" s="25" t="s">
        <v>64</v>
      </c>
      <c r="C66" s="43" t="s">
        <v>252</v>
      </c>
      <c r="D66" s="44" t="s">
        <v>253</v>
      </c>
      <c r="E66" s="45" t="n">
        <v>0.5134</v>
      </c>
      <c r="F66" s="40"/>
      <c r="G66" s="46" t="n">
        <f aca="false">IFERROR(IF($F66&gt;0,MAX(0,INDEX('XERO ACTUALS'!$T$5:$T$132,MATCH($A66,'XERO ACTUALS'!$A$5:$A$132,0))-$F66),INDEX('XERO ACTUALS'!$T$5:$T$132,MATCH($A66,'XERO ACTUALS'!$A$5:$A$132,0)))*IF($E66="",1,$E66),"")</f>
        <v>160.843086</v>
      </c>
      <c r="H66" s="40" t="n">
        <v>323.67</v>
      </c>
      <c r="I66" s="26" t="s">
        <v>254</v>
      </c>
      <c r="J66" s="32"/>
      <c r="K66" s="27" t="n">
        <v>0</v>
      </c>
      <c r="L66" s="26" t="n">
        <v>1</v>
      </c>
      <c r="M66" s="26" t="n">
        <v>12</v>
      </c>
      <c r="N66" s="47" t="s">
        <v>255</v>
      </c>
      <c r="O66" s="18" t="n">
        <f aca="false">IF($N66="N",0,IF($A66="",0,(IF($J66&lt;&gt;"",$J66,IF($I66="BUDGET",IF($H66="",0,$H66),IF($G66="",0,$G66))))*(1+IF($K66="",0,$K66))))</f>
        <v>160.843086</v>
      </c>
      <c r="P66" s="17" t="n">
        <f aca="false">IF(AND(P$4&gt;=IF($L66="",1,$L66),P$4&lt;=IF($M66="",12,$M66)),$O66,0)</f>
        <v>160.843086</v>
      </c>
      <c r="Q66" s="17" t="n">
        <f aca="false">IF(AND(Q$4&gt;=IF($L66="",1,$L66),Q$4&lt;=IF($M66="",12,$M66)),$O66,0)</f>
        <v>160.843086</v>
      </c>
      <c r="R66" s="17" t="n">
        <f aca="false">IF(AND(R$4&gt;=IF($L66="",1,$L66),R$4&lt;=IF($M66="",12,$M66)),$O66,0)</f>
        <v>160.843086</v>
      </c>
      <c r="S66" s="17" t="n">
        <f aca="false">IF(AND(S$4&gt;=IF($L66="",1,$L66),S$4&lt;=IF($M66="",12,$M66)),$O66,0)</f>
        <v>160.843086</v>
      </c>
      <c r="T66" s="17" t="n">
        <f aca="false">IF(AND(T$4&gt;=IF($L66="",1,$L66),T$4&lt;=IF($M66="",12,$M66)),$O66,0)</f>
        <v>160.843086</v>
      </c>
      <c r="U66" s="17" t="n">
        <f aca="false">IF(AND(U$4&gt;=IF($L66="",1,$L66),U$4&lt;=IF($M66="",12,$M66)),$O66,0)</f>
        <v>160.843086</v>
      </c>
      <c r="V66" s="17" t="n">
        <f aca="false">IF(AND(V$4&gt;=IF($L66="",1,$L66),V$4&lt;=IF($M66="",12,$M66)),$O66,0)</f>
        <v>160.843086</v>
      </c>
      <c r="W66" s="17" t="n">
        <f aca="false">IF(AND(W$4&gt;=IF($L66="",1,$L66),W$4&lt;=IF($M66="",12,$M66)),$O66,0)</f>
        <v>160.843086</v>
      </c>
      <c r="X66" s="17" t="n">
        <f aca="false">IF(AND(X$4&gt;=IF($L66="",1,$L66),X$4&lt;=IF($M66="",12,$M66)),$O66,0)</f>
        <v>160.843086</v>
      </c>
      <c r="Y66" s="17" t="n">
        <f aca="false">IF(AND(Y$4&gt;=IF($L66="",1,$L66),Y$4&lt;=IF($M66="",12,$M66)),$O66,0)</f>
        <v>160.843086</v>
      </c>
      <c r="Z66" s="17" t="n">
        <f aca="false">IF(AND(Z$4&gt;=IF($L66="",1,$L66),Z$4&lt;=IF($M66="",12,$M66)),$O66,0)</f>
        <v>160.843086</v>
      </c>
      <c r="AA66" s="17" t="n">
        <f aca="false">IF(AND(AA$4&gt;=IF($L66="",1,$L66),AA$4&lt;=IF($M66="",12,$M66)),$O66,0)</f>
        <v>160.843086</v>
      </c>
      <c r="AB66" s="18" t="n">
        <f aca="false">SUM(P66:AA66)</f>
        <v>1930.117032</v>
      </c>
    </row>
    <row r="67" customFormat="false" ht="15" hidden="false" customHeight="false" outlineLevel="0" collapsed="false">
      <c r="A67" s="42" t="s">
        <v>323</v>
      </c>
      <c r="B67" s="25" t="s">
        <v>64</v>
      </c>
      <c r="C67" s="43" t="s">
        <v>260</v>
      </c>
      <c r="D67" s="48" t="s">
        <v>261</v>
      </c>
      <c r="E67" s="45" t="n">
        <v>1</v>
      </c>
      <c r="F67" s="40"/>
      <c r="G67" s="46" t="n">
        <f aca="false">IFERROR(IF($F67&gt;0,MAX(0,INDEX('XERO ACTUALS'!$T$5:$T$132,MATCH($A67,'XERO ACTUALS'!$A$5:$A$132,0))-$F67),INDEX('XERO ACTUALS'!$T$5:$T$132,MATCH($A67,'XERO ACTUALS'!$A$5:$A$132,0)))*IF($E67="",1,$E67),"")</f>
        <v>151.31</v>
      </c>
      <c r="H67" s="40"/>
      <c r="I67" s="26" t="s">
        <v>254</v>
      </c>
      <c r="J67" s="32"/>
      <c r="K67" s="27" t="n">
        <v>0</v>
      </c>
      <c r="L67" s="26" t="n">
        <v>1</v>
      </c>
      <c r="M67" s="26" t="n">
        <v>12</v>
      </c>
      <c r="N67" s="47" t="s">
        <v>255</v>
      </c>
      <c r="O67" s="18" t="n">
        <f aca="false">IF($N67="N",0,IF($A67="",0,(IF($J67&lt;&gt;"",$J67,IF($I67="BUDGET",IF($H67="",0,$H67),IF($G67="",0,$G67))))*(1+IF($K67="",0,$K67))))</f>
        <v>151.31</v>
      </c>
      <c r="P67" s="17" t="n">
        <f aca="false">IF(AND(P$4&gt;=IF($L67="",1,$L67),P$4&lt;=IF($M67="",12,$M67)),$O67,0)</f>
        <v>151.31</v>
      </c>
      <c r="Q67" s="17" t="n">
        <f aca="false">IF(AND(Q$4&gt;=IF($L67="",1,$L67),Q$4&lt;=IF($M67="",12,$M67)),$O67,0)</f>
        <v>151.31</v>
      </c>
      <c r="R67" s="17" t="n">
        <f aca="false">IF(AND(R$4&gt;=IF($L67="",1,$L67),R$4&lt;=IF($M67="",12,$M67)),$O67,0)</f>
        <v>151.31</v>
      </c>
      <c r="S67" s="17" t="n">
        <f aca="false">IF(AND(S$4&gt;=IF($L67="",1,$L67),S$4&lt;=IF($M67="",12,$M67)),$O67,0)</f>
        <v>151.31</v>
      </c>
      <c r="T67" s="17" t="n">
        <f aca="false">IF(AND(T$4&gt;=IF($L67="",1,$L67),T$4&lt;=IF($M67="",12,$M67)),$O67,0)</f>
        <v>151.31</v>
      </c>
      <c r="U67" s="17" t="n">
        <f aca="false">IF(AND(U$4&gt;=IF($L67="",1,$L67),U$4&lt;=IF($M67="",12,$M67)),$O67,0)</f>
        <v>151.31</v>
      </c>
      <c r="V67" s="17" t="n">
        <f aca="false">IF(AND(V$4&gt;=IF($L67="",1,$L67),V$4&lt;=IF($M67="",12,$M67)),$O67,0)</f>
        <v>151.31</v>
      </c>
      <c r="W67" s="17" t="n">
        <f aca="false">IF(AND(W$4&gt;=IF($L67="",1,$L67),W$4&lt;=IF($M67="",12,$M67)),$O67,0)</f>
        <v>151.31</v>
      </c>
      <c r="X67" s="17" t="n">
        <f aca="false">IF(AND(X$4&gt;=IF($L67="",1,$L67),X$4&lt;=IF($M67="",12,$M67)),$O67,0)</f>
        <v>151.31</v>
      </c>
      <c r="Y67" s="17" t="n">
        <f aca="false">IF(AND(Y$4&gt;=IF($L67="",1,$L67),Y$4&lt;=IF($M67="",12,$M67)),$O67,0)</f>
        <v>151.31</v>
      </c>
      <c r="Z67" s="17" t="n">
        <f aca="false">IF(AND(Z$4&gt;=IF($L67="",1,$L67),Z$4&lt;=IF($M67="",12,$M67)),$O67,0)</f>
        <v>151.31</v>
      </c>
      <c r="AA67" s="17" t="n">
        <f aca="false">IF(AND(AA$4&gt;=IF($L67="",1,$L67),AA$4&lt;=IF($M67="",12,$M67)),$O67,0)</f>
        <v>151.31</v>
      </c>
      <c r="AB67" s="18" t="n">
        <f aca="false">SUM(P67:AA67)</f>
        <v>1815.72</v>
      </c>
    </row>
    <row r="68" customFormat="false" ht="15" hidden="false" customHeight="false" outlineLevel="0" collapsed="false">
      <c r="A68" s="42" t="s">
        <v>324</v>
      </c>
      <c r="B68" s="25" t="s">
        <v>64</v>
      </c>
      <c r="C68" s="43" t="s">
        <v>252</v>
      </c>
      <c r="D68" s="44" t="s">
        <v>253</v>
      </c>
      <c r="E68" s="45" t="n">
        <v>1</v>
      </c>
      <c r="F68" s="40" t="n">
        <v>99.45</v>
      </c>
      <c r="G68" s="46" t="n">
        <f aca="false">IFERROR(IF($F68&gt;0,MAX(0,INDEX('XERO ACTUALS'!$T$5:$T$132,MATCH($A68,'XERO ACTUALS'!$A$5:$A$132,0))-$F68),INDEX('XERO ACTUALS'!$T$5:$T$132,MATCH($A68,'XERO ACTUALS'!$A$5:$A$132,0)))*IF($E68="",1,$E68),"")</f>
        <v>106.55</v>
      </c>
      <c r="H68" s="40" t="n">
        <v>7.65</v>
      </c>
      <c r="I68" s="26" t="s">
        <v>254</v>
      </c>
      <c r="J68" s="32"/>
      <c r="K68" s="27" t="n">
        <v>0</v>
      </c>
      <c r="L68" s="26" t="n">
        <v>1</v>
      </c>
      <c r="M68" s="26" t="n">
        <v>12</v>
      </c>
      <c r="N68" s="47" t="s">
        <v>255</v>
      </c>
      <c r="O68" s="18" t="n">
        <f aca="false">IF($N68="N",0,IF($A68="",0,(IF($J68&lt;&gt;"",$J68,IF($I68="BUDGET",IF($H68="",0,$H68),IF($G68="",0,$G68))))*(1+IF($K68="",0,$K68))))</f>
        <v>106.55</v>
      </c>
      <c r="P68" s="17" t="n">
        <f aca="false">IF(AND(P$4&gt;=IF($L68="",1,$L68),P$4&lt;=IF($M68="",12,$M68)),$O68,0)</f>
        <v>106.55</v>
      </c>
      <c r="Q68" s="17" t="n">
        <f aca="false">IF(AND(Q$4&gt;=IF($L68="",1,$L68),Q$4&lt;=IF($M68="",12,$M68)),$O68,0)</f>
        <v>106.55</v>
      </c>
      <c r="R68" s="17" t="n">
        <f aca="false">IF(AND(R$4&gt;=IF($L68="",1,$L68),R$4&lt;=IF($M68="",12,$M68)),$O68,0)</f>
        <v>106.55</v>
      </c>
      <c r="S68" s="17" t="n">
        <f aca="false">IF(AND(S$4&gt;=IF($L68="",1,$L68),S$4&lt;=IF($M68="",12,$M68)),$O68,0)</f>
        <v>106.55</v>
      </c>
      <c r="T68" s="17" t="n">
        <f aca="false">IF(AND(T$4&gt;=IF($L68="",1,$L68),T$4&lt;=IF($M68="",12,$M68)),$O68,0)</f>
        <v>106.55</v>
      </c>
      <c r="U68" s="17" t="n">
        <f aca="false">IF(AND(U$4&gt;=IF($L68="",1,$L68),U$4&lt;=IF($M68="",12,$M68)),$O68,0)</f>
        <v>106.55</v>
      </c>
      <c r="V68" s="17" t="n">
        <f aca="false">IF(AND(V$4&gt;=IF($L68="",1,$L68),V$4&lt;=IF($M68="",12,$M68)),$O68,0)</f>
        <v>106.55</v>
      </c>
      <c r="W68" s="17" t="n">
        <f aca="false">IF(AND(W$4&gt;=IF($L68="",1,$L68),W$4&lt;=IF($M68="",12,$M68)),$O68,0)</f>
        <v>106.55</v>
      </c>
      <c r="X68" s="17" t="n">
        <f aca="false">IF(AND(X$4&gt;=IF($L68="",1,$L68),X$4&lt;=IF($M68="",12,$M68)),$O68,0)</f>
        <v>106.55</v>
      </c>
      <c r="Y68" s="17" t="n">
        <f aca="false">IF(AND(Y$4&gt;=IF($L68="",1,$L68),Y$4&lt;=IF($M68="",12,$M68)),$O68,0)</f>
        <v>106.55</v>
      </c>
      <c r="Z68" s="17" t="n">
        <f aca="false">IF(AND(Z$4&gt;=IF($L68="",1,$L68),Z$4&lt;=IF($M68="",12,$M68)),$O68,0)</f>
        <v>106.55</v>
      </c>
      <c r="AA68" s="17" t="n">
        <f aca="false">IF(AND(AA$4&gt;=IF($L68="",1,$L68),AA$4&lt;=IF($M68="",12,$M68)),$O68,0)</f>
        <v>106.55</v>
      </c>
      <c r="AB68" s="18" t="n">
        <f aca="false">SUM(P68:AA68)</f>
        <v>1278.6</v>
      </c>
    </row>
    <row r="69" customFormat="false" ht="15" hidden="false" customHeight="false" outlineLevel="0" collapsed="false">
      <c r="A69" s="16" t="s">
        <v>325</v>
      </c>
      <c r="B69" s="25" t="s">
        <v>64</v>
      </c>
      <c r="C69" s="43" t="s">
        <v>264</v>
      </c>
      <c r="D69" s="44" t="s">
        <v>265</v>
      </c>
      <c r="E69" s="45"/>
      <c r="F69" s="40"/>
      <c r="G69" s="46"/>
      <c r="H69" s="40" t="n">
        <v>106.25</v>
      </c>
      <c r="I69" s="26" t="s">
        <v>266</v>
      </c>
      <c r="J69" s="32"/>
      <c r="K69" s="27" t="n">
        <v>0</v>
      </c>
      <c r="L69" s="26" t="n">
        <v>1</v>
      </c>
      <c r="M69" s="26" t="n">
        <v>12</v>
      </c>
      <c r="N69" s="47" t="s">
        <v>267</v>
      </c>
      <c r="O69" s="18" t="n">
        <f aca="false">IF($N69="N",0,IF($A69="",0,(IF($J69&lt;&gt;"",$J69,IF($I69="BUDGET",IF($H69="",0,$H69),IF($G69="",0,$G69))))*(1+IF($K69="",0,$K69))))</f>
        <v>0</v>
      </c>
      <c r="P69" s="17" t="n">
        <f aca="false">IF(AND(P$4&gt;=IF($L69="",1,$L69),P$4&lt;=IF($M69="",12,$M69)),$O69,0)</f>
        <v>0</v>
      </c>
      <c r="Q69" s="17" t="n">
        <f aca="false">IF(AND(Q$4&gt;=IF($L69="",1,$L69),Q$4&lt;=IF($M69="",12,$M69)),$O69,0)</f>
        <v>0</v>
      </c>
      <c r="R69" s="17" t="n">
        <f aca="false">IF(AND(R$4&gt;=IF($L69="",1,$L69),R$4&lt;=IF($M69="",12,$M69)),$O69,0)</f>
        <v>0</v>
      </c>
      <c r="S69" s="17" t="n">
        <f aca="false">IF(AND(S$4&gt;=IF($L69="",1,$L69),S$4&lt;=IF($M69="",12,$M69)),$O69,0)</f>
        <v>0</v>
      </c>
      <c r="T69" s="17" t="n">
        <f aca="false">IF(AND(T$4&gt;=IF($L69="",1,$L69),T$4&lt;=IF($M69="",12,$M69)),$O69,0)</f>
        <v>0</v>
      </c>
      <c r="U69" s="17" t="n">
        <f aca="false">IF(AND(U$4&gt;=IF($L69="",1,$L69),U$4&lt;=IF($M69="",12,$M69)),$O69,0)</f>
        <v>0</v>
      </c>
      <c r="V69" s="17" t="n">
        <f aca="false">IF(AND(V$4&gt;=IF($L69="",1,$L69),V$4&lt;=IF($M69="",12,$M69)),$O69,0)</f>
        <v>0</v>
      </c>
      <c r="W69" s="17" t="n">
        <f aca="false">IF(AND(W$4&gt;=IF($L69="",1,$L69),W$4&lt;=IF($M69="",12,$M69)),$O69,0)</f>
        <v>0</v>
      </c>
      <c r="X69" s="17" t="n">
        <f aca="false">IF(AND(X$4&gt;=IF($L69="",1,$L69),X$4&lt;=IF($M69="",12,$M69)),$O69,0)</f>
        <v>0</v>
      </c>
      <c r="Y69" s="17" t="n">
        <f aca="false">IF(AND(Y$4&gt;=IF($L69="",1,$L69),Y$4&lt;=IF($M69="",12,$M69)),$O69,0)</f>
        <v>0</v>
      </c>
      <c r="Z69" s="17" t="n">
        <f aca="false">IF(AND(Z$4&gt;=IF($L69="",1,$L69),Z$4&lt;=IF($M69="",12,$M69)),$O69,0)</f>
        <v>0</v>
      </c>
      <c r="AA69" s="17" t="n">
        <f aca="false">IF(AND(AA$4&gt;=IF($L69="",1,$L69),AA$4&lt;=IF($M69="",12,$M69)),$O69,0)</f>
        <v>0</v>
      </c>
      <c r="AB69" s="18" t="n">
        <f aca="false">SUM(P69:AA69)</f>
        <v>0</v>
      </c>
    </row>
    <row r="70" customFormat="false" ht="15" hidden="false" customHeight="false" outlineLevel="0" collapsed="false">
      <c r="A70" s="42" t="s">
        <v>326</v>
      </c>
      <c r="B70" s="25" t="s">
        <v>64</v>
      </c>
      <c r="C70" s="43" t="s">
        <v>260</v>
      </c>
      <c r="D70" s="50" t="s">
        <v>285</v>
      </c>
      <c r="E70" s="45" t="n">
        <v>1</v>
      </c>
      <c r="F70" s="40"/>
      <c r="G70" s="46" t="n">
        <f aca="false">IFERROR(IF($F70&gt;0,MAX(0,INDEX('XERO ACTUALS'!$T$5:$T$132,MATCH($A70,'XERO ACTUALS'!$A$5:$A$132,0))-$F70),INDEX('XERO ACTUALS'!$T$5:$T$132,MATCH($A70,'XERO ACTUALS'!$A$5:$A$132,0)))*IF($E70="",1,$E70),"")</f>
        <v>64.735457316279</v>
      </c>
      <c r="H70" s="40"/>
      <c r="I70" s="26" t="s">
        <v>254</v>
      </c>
      <c r="J70" s="32"/>
      <c r="K70" s="27" t="n">
        <v>0</v>
      </c>
      <c r="L70" s="26" t="n">
        <v>1</v>
      </c>
      <c r="M70" s="26" t="n">
        <v>12</v>
      </c>
      <c r="N70" s="47" t="s">
        <v>267</v>
      </c>
      <c r="O70" s="18" t="n">
        <f aca="false">IF($N70="N",0,IF($A70="",0,(IF($J70&lt;&gt;"",$J70,IF($I70="BUDGET",IF($H70="",0,$H70),IF($G70="",0,$G70))))*(1+IF($K70="",0,$K70))))</f>
        <v>0</v>
      </c>
      <c r="P70" s="17" t="n">
        <f aca="false">IF(AND(P$4&gt;=IF($L70="",1,$L70),P$4&lt;=IF($M70="",12,$M70)),$O70,0)</f>
        <v>0</v>
      </c>
      <c r="Q70" s="17" t="n">
        <f aca="false">IF(AND(Q$4&gt;=IF($L70="",1,$L70),Q$4&lt;=IF($M70="",12,$M70)),$O70,0)</f>
        <v>0</v>
      </c>
      <c r="R70" s="17" t="n">
        <f aca="false">IF(AND(R$4&gt;=IF($L70="",1,$L70),R$4&lt;=IF($M70="",12,$M70)),$O70,0)</f>
        <v>0</v>
      </c>
      <c r="S70" s="17" t="n">
        <f aca="false">IF(AND(S$4&gt;=IF($L70="",1,$L70),S$4&lt;=IF($M70="",12,$M70)),$O70,0)</f>
        <v>0</v>
      </c>
      <c r="T70" s="17" t="n">
        <f aca="false">IF(AND(T$4&gt;=IF($L70="",1,$L70),T$4&lt;=IF($M70="",12,$M70)),$O70,0)</f>
        <v>0</v>
      </c>
      <c r="U70" s="17" t="n">
        <f aca="false">IF(AND(U$4&gt;=IF($L70="",1,$L70),U$4&lt;=IF($M70="",12,$M70)),$O70,0)</f>
        <v>0</v>
      </c>
      <c r="V70" s="17" t="n">
        <f aca="false">IF(AND(V$4&gt;=IF($L70="",1,$L70),V$4&lt;=IF($M70="",12,$M70)),$O70,0)</f>
        <v>0</v>
      </c>
      <c r="W70" s="17" t="n">
        <f aca="false">IF(AND(W$4&gt;=IF($L70="",1,$L70),W$4&lt;=IF($M70="",12,$M70)),$O70,0)</f>
        <v>0</v>
      </c>
      <c r="X70" s="17" t="n">
        <f aca="false">IF(AND(X$4&gt;=IF($L70="",1,$L70),X$4&lt;=IF($M70="",12,$M70)),$O70,0)</f>
        <v>0</v>
      </c>
      <c r="Y70" s="17" t="n">
        <f aca="false">IF(AND(Y$4&gt;=IF($L70="",1,$L70),Y$4&lt;=IF($M70="",12,$M70)),$O70,0)</f>
        <v>0</v>
      </c>
      <c r="Z70" s="17" t="n">
        <f aca="false">IF(AND(Z$4&gt;=IF($L70="",1,$L70),Z$4&lt;=IF($M70="",12,$M70)),$O70,0)</f>
        <v>0</v>
      </c>
      <c r="AA70" s="17" t="n">
        <f aca="false">IF(AND(AA$4&gt;=IF($L70="",1,$L70),AA$4&lt;=IF($M70="",12,$M70)),$O70,0)</f>
        <v>0</v>
      </c>
      <c r="AB70" s="18" t="n">
        <f aca="false">SUM(P70:AA70)</f>
        <v>0</v>
      </c>
    </row>
    <row r="71" customFormat="false" ht="15" hidden="false" customHeight="false" outlineLevel="0" collapsed="false">
      <c r="A71" s="16" t="s">
        <v>327</v>
      </c>
      <c r="B71" s="25" t="s">
        <v>64</v>
      </c>
      <c r="C71" s="43" t="s">
        <v>264</v>
      </c>
      <c r="D71" s="44" t="s">
        <v>265</v>
      </c>
      <c r="E71" s="45"/>
      <c r="F71" s="40"/>
      <c r="G71" s="46"/>
      <c r="H71" s="40" t="n">
        <v>35</v>
      </c>
      <c r="I71" s="26" t="s">
        <v>266</v>
      </c>
      <c r="J71" s="32"/>
      <c r="K71" s="27" t="n">
        <v>0</v>
      </c>
      <c r="L71" s="26" t="n">
        <v>1</v>
      </c>
      <c r="M71" s="26" t="n">
        <v>12</v>
      </c>
      <c r="N71" s="47" t="s">
        <v>267</v>
      </c>
      <c r="O71" s="18" t="n">
        <f aca="false">IF($N71="N",0,IF($A71="",0,(IF($J71&lt;&gt;"",$J71,IF($I71="BUDGET",IF($H71="",0,$H71),IF($G71="",0,$G71))))*(1+IF($K71="",0,$K71))))</f>
        <v>0</v>
      </c>
      <c r="P71" s="17" t="n">
        <f aca="false">IF(AND(P$4&gt;=IF($L71="",1,$L71),P$4&lt;=IF($M71="",12,$M71)),$O71,0)</f>
        <v>0</v>
      </c>
      <c r="Q71" s="17" t="n">
        <f aca="false">IF(AND(Q$4&gt;=IF($L71="",1,$L71),Q$4&lt;=IF($M71="",12,$M71)),$O71,0)</f>
        <v>0</v>
      </c>
      <c r="R71" s="17" t="n">
        <f aca="false">IF(AND(R$4&gt;=IF($L71="",1,$L71),R$4&lt;=IF($M71="",12,$M71)),$O71,0)</f>
        <v>0</v>
      </c>
      <c r="S71" s="17" t="n">
        <f aca="false">IF(AND(S$4&gt;=IF($L71="",1,$L71),S$4&lt;=IF($M71="",12,$M71)),$O71,0)</f>
        <v>0</v>
      </c>
      <c r="T71" s="17" t="n">
        <f aca="false">IF(AND(T$4&gt;=IF($L71="",1,$L71),T$4&lt;=IF($M71="",12,$M71)),$O71,0)</f>
        <v>0</v>
      </c>
      <c r="U71" s="17" t="n">
        <f aca="false">IF(AND(U$4&gt;=IF($L71="",1,$L71),U$4&lt;=IF($M71="",12,$M71)),$O71,0)</f>
        <v>0</v>
      </c>
      <c r="V71" s="17" t="n">
        <f aca="false">IF(AND(V$4&gt;=IF($L71="",1,$L71),V$4&lt;=IF($M71="",12,$M71)),$O71,0)</f>
        <v>0</v>
      </c>
      <c r="W71" s="17" t="n">
        <f aca="false">IF(AND(W$4&gt;=IF($L71="",1,$L71),W$4&lt;=IF($M71="",12,$M71)),$O71,0)</f>
        <v>0</v>
      </c>
      <c r="X71" s="17" t="n">
        <f aca="false">IF(AND(X$4&gt;=IF($L71="",1,$L71),X$4&lt;=IF($M71="",12,$M71)),$O71,0)</f>
        <v>0</v>
      </c>
      <c r="Y71" s="17" t="n">
        <f aca="false">IF(AND(Y$4&gt;=IF($L71="",1,$L71),Y$4&lt;=IF($M71="",12,$M71)),$O71,0)</f>
        <v>0</v>
      </c>
      <c r="Z71" s="17" t="n">
        <f aca="false">IF(AND(Z$4&gt;=IF($L71="",1,$L71),Z$4&lt;=IF($M71="",12,$M71)),$O71,0)</f>
        <v>0</v>
      </c>
      <c r="AA71" s="17" t="n">
        <f aca="false">IF(AND(AA$4&gt;=IF($L71="",1,$L71),AA$4&lt;=IF($M71="",12,$M71)),$O71,0)</f>
        <v>0</v>
      </c>
      <c r="AB71" s="18" t="n">
        <f aca="false">SUM(P71:AA71)</f>
        <v>0</v>
      </c>
    </row>
    <row r="72" customFormat="false" ht="15" hidden="false" customHeight="false" outlineLevel="0" collapsed="false">
      <c r="A72" s="42" t="s">
        <v>328</v>
      </c>
      <c r="B72" s="25" t="s">
        <v>64</v>
      </c>
      <c r="C72" s="43" t="s">
        <v>260</v>
      </c>
      <c r="D72" s="51" t="s">
        <v>291</v>
      </c>
      <c r="E72" s="45" t="n">
        <v>1</v>
      </c>
      <c r="F72" s="40"/>
      <c r="G72" s="46" t="n">
        <f aca="false">IFERROR(IF($F72&gt;0,MAX(0,INDEX('XERO ACTUALS'!$T$5:$T$132,MATCH($A72,'XERO ACTUALS'!$A$5:$A$132,0))-$F72),INDEX('XERO ACTUALS'!$T$5:$T$132,MATCH($A72,'XERO ACTUALS'!$A$5:$A$132,0)))*IF($E72="",1,$E72),"")</f>
        <v>25.1048532055123</v>
      </c>
      <c r="H72" s="40"/>
      <c r="I72" s="26" t="s">
        <v>254</v>
      </c>
      <c r="J72" s="32"/>
      <c r="K72" s="27" t="n">
        <v>0</v>
      </c>
      <c r="L72" s="26" t="n">
        <v>1</v>
      </c>
      <c r="M72" s="26" t="n">
        <v>12</v>
      </c>
      <c r="N72" s="47" t="s">
        <v>255</v>
      </c>
      <c r="O72" s="18" t="n">
        <f aca="false">IF($N72="N",0,IF($A72="",0,(IF($J72&lt;&gt;"",$J72,IF($I72="BUDGET",IF($H72="",0,$H72),IF($G72="",0,$G72))))*(1+IF($K72="",0,$K72))))</f>
        <v>25.1048532055123</v>
      </c>
      <c r="P72" s="17" t="n">
        <f aca="false">IF(AND(P$4&gt;=IF($L72="",1,$L72),P$4&lt;=IF($M72="",12,$M72)),$O72,0)</f>
        <v>25.1048532055123</v>
      </c>
      <c r="Q72" s="17" t="n">
        <f aca="false">IF(AND(Q$4&gt;=IF($L72="",1,$L72),Q$4&lt;=IF($M72="",12,$M72)),$O72,0)</f>
        <v>25.1048532055123</v>
      </c>
      <c r="R72" s="17" t="n">
        <f aca="false">IF(AND(R$4&gt;=IF($L72="",1,$L72),R$4&lt;=IF($M72="",12,$M72)),$O72,0)</f>
        <v>25.1048532055123</v>
      </c>
      <c r="S72" s="17" t="n">
        <f aca="false">IF(AND(S$4&gt;=IF($L72="",1,$L72),S$4&lt;=IF($M72="",12,$M72)),$O72,0)</f>
        <v>25.1048532055123</v>
      </c>
      <c r="T72" s="17" t="n">
        <f aca="false">IF(AND(T$4&gt;=IF($L72="",1,$L72),T$4&lt;=IF($M72="",12,$M72)),$O72,0)</f>
        <v>25.1048532055123</v>
      </c>
      <c r="U72" s="17" t="n">
        <f aca="false">IF(AND(U$4&gt;=IF($L72="",1,$L72),U$4&lt;=IF($M72="",12,$M72)),$O72,0)</f>
        <v>25.1048532055123</v>
      </c>
      <c r="V72" s="17" t="n">
        <f aca="false">IF(AND(V$4&gt;=IF($L72="",1,$L72),V$4&lt;=IF($M72="",12,$M72)),$O72,0)</f>
        <v>25.1048532055123</v>
      </c>
      <c r="W72" s="17" t="n">
        <f aca="false">IF(AND(W$4&gt;=IF($L72="",1,$L72),W$4&lt;=IF($M72="",12,$M72)),$O72,0)</f>
        <v>25.1048532055123</v>
      </c>
      <c r="X72" s="17" t="n">
        <f aca="false">IF(AND(X$4&gt;=IF($L72="",1,$L72),X$4&lt;=IF($M72="",12,$M72)),$O72,0)</f>
        <v>25.1048532055123</v>
      </c>
      <c r="Y72" s="17" t="n">
        <f aca="false">IF(AND(Y$4&gt;=IF($L72="",1,$L72),Y$4&lt;=IF($M72="",12,$M72)),$O72,0)</f>
        <v>25.1048532055123</v>
      </c>
      <c r="Z72" s="17" t="n">
        <f aca="false">IF(AND(Z$4&gt;=IF($L72="",1,$L72),Z$4&lt;=IF($M72="",12,$M72)),$O72,0)</f>
        <v>25.1048532055123</v>
      </c>
      <c r="AA72" s="17" t="n">
        <f aca="false">IF(AND(AA$4&gt;=IF($L72="",1,$L72),AA$4&lt;=IF($M72="",12,$M72)),$O72,0)</f>
        <v>25.1048532055123</v>
      </c>
      <c r="AB72" s="18" t="n">
        <f aca="false">SUM(P72:AA72)</f>
        <v>301.258238466147</v>
      </c>
    </row>
    <row r="73" customFormat="false" ht="15" hidden="false" customHeight="false" outlineLevel="0" collapsed="false">
      <c r="A73" s="16" t="s">
        <v>329</v>
      </c>
      <c r="B73" s="25" t="s">
        <v>64</v>
      </c>
      <c r="C73" s="43" t="s">
        <v>264</v>
      </c>
      <c r="D73" s="44" t="s">
        <v>265</v>
      </c>
      <c r="E73" s="45"/>
      <c r="F73" s="40"/>
      <c r="G73" s="46"/>
      <c r="H73" s="40" t="n">
        <v>6</v>
      </c>
      <c r="I73" s="26" t="s">
        <v>266</v>
      </c>
      <c r="J73" s="32"/>
      <c r="K73" s="27" t="n">
        <v>0</v>
      </c>
      <c r="L73" s="26" t="n">
        <v>1</v>
      </c>
      <c r="M73" s="26" t="n">
        <v>12</v>
      </c>
      <c r="N73" s="47" t="s">
        <v>267</v>
      </c>
      <c r="O73" s="18" t="n">
        <f aca="false">IF($N73="N",0,IF($A73="",0,(IF($J73&lt;&gt;"",$J73,IF($I73="BUDGET",IF($H73="",0,$H73),IF($G73="",0,$G73))))*(1+IF($K73="",0,$K73))))</f>
        <v>0</v>
      </c>
      <c r="P73" s="17" t="n">
        <f aca="false">IF(AND(P$4&gt;=IF($L73="",1,$L73),P$4&lt;=IF($M73="",12,$M73)),$O73,0)</f>
        <v>0</v>
      </c>
      <c r="Q73" s="17" t="n">
        <f aca="false">IF(AND(Q$4&gt;=IF($L73="",1,$L73),Q$4&lt;=IF($M73="",12,$M73)),$O73,0)</f>
        <v>0</v>
      </c>
      <c r="R73" s="17" t="n">
        <f aca="false">IF(AND(R$4&gt;=IF($L73="",1,$L73),R$4&lt;=IF($M73="",12,$M73)),$O73,0)</f>
        <v>0</v>
      </c>
      <c r="S73" s="17" t="n">
        <f aca="false">IF(AND(S$4&gt;=IF($L73="",1,$L73),S$4&lt;=IF($M73="",12,$M73)),$O73,0)</f>
        <v>0</v>
      </c>
      <c r="T73" s="17" t="n">
        <f aca="false">IF(AND(T$4&gt;=IF($L73="",1,$L73),T$4&lt;=IF($M73="",12,$M73)),$O73,0)</f>
        <v>0</v>
      </c>
      <c r="U73" s="17" t="n">
        <f aca="false">IF(AND(U$4&gt;=IF($L73="",1,$L73),U$4&lt;=IF($M73="",12,$M73)),$O73,0)</f>
        <v>0</v>
      </c>
      <c r="V73" s="17" t="n">
        <f aca="false">IF(AND(V$4&gt;=IF($L73="",1,$L73),V$4&lt;=IF($M73="",12,$M73)),$O73,0)</f>
        <v>0</v>
      </c>
      <c r="W73" s="17" t="n">
        <f aca="false">IF(AND(W$4&gt;=IF($L73="",1,$L73),W$4&lt;=IF($M73="",12,$M73)),$O73,0)</f>
        <v>0</v>
      </c>
      <c r="X73" s="17" t="n">
        <f aca="false">IF(AND(X$4&gt;=IF($L73="",1,$L73),X$4&lt;=IF($M73="",12,$M73)),$O73,0)</f>
        <v>0</v>
      </c>
      <c r="Y73" s="17" t="n">
        <f aca="false">IF(AND(Y$4&gt;=IF($L73="",1,$L73),Y$4&lt;=IF($M73="",12,$M73)),$O73,0)</f>
        <v>0</v>
      </c>
      <c r="Z73" s="17" t="n">
        <f aca="false">IF(AND(Z$4&gt;=IF($L73="",1,$L73),Z$4&lt;=IF($M73="",12,$M73)),$O73,0)</f>
        <v>0</v>
      </c>
      <c r="AA73" s="17" t="n">
        <f aca="false">IF(AND(AA$4&gt;=IF($L73="",1,$L73),AA$4&lt;=IF($M73="",12,$M73)),$O73,0)</f>
        <v>0</v>
      </c>
      <c r="AB73" s="18" t="n">
        <f aca="false">SUM(P73:AA73)</f>
        <v>0</v>
      </c>
    </row>
    <row r="74" customFormat="false" ht="15" hidden="false" customHeight="false" outlineLevel="0" collapsed="false">
      <c r="A74" s="42" t="s">
        <v>330</v>
      </c>
      <c r="B74" s="25" t="s">
        <v>65</v>
      </c>
      <c r="C74" s="43" t="s">
        <v>252</v>
      </c>
      <c r="D74" s="44" t="s">
        <v>253</v>
      </c>
      <c r="E74" s="45" t="n">
        <v>1</v>
      </c>
      <c r="F74" s="40"/>
      <c r="G74" s="46" t="n">
        <f aca="false">IFERROR(IF($F74&gt;0,MAX(0,INDEX('XERO ACTUALS'!$T$5:$T$132,MATCH($A74,'XERO ACTUALS'!$A$5:$A$132,0))-$F74),INDEX('XERO ACTUALS'!$T$5:$T$132,MATCH($A74,'XERO ACTUALS'!$A$5:$A$132,0)))*IF($E74="",1,$E74),"")</f>
        <v>341.33</v>
      </c>
      <c r="H74" s="40" t="n">
        <v>319</v>
      </c>
      <c r="I74" s="26" t="s">
        <v>254</v>
      </c>
      <c r="J74" s="32"/>
      <c r="K74" s="27" t="n">
        <v>0</v>
      </c>
      <c r="L74" s="26" t="n">
        <v>1</v>
      </c>
      <c r="M74" s="26" t="n">
        <v>12</v>
      </c>
      <c r="N74" s="47" t="s">
        <v>255</v>
      </c>
      <c r="O74" s="18" t="n">
        <f aca="false">IF($N74="N",0,IF($A74="",0,(IF($J74&lt;&gt;"",$J74,IF($I74="BUDGET",IF($H74="",0,$H74),IF($G74="",0,$G74))))*(1+IF($K74="",0,$K74))))</f>
        <v>341.33</v>
      </c>
      <c r="P74" s="17" t="n">
        <f aca="false">IF(AND(P$4&gt;=IF($L74="",1,$L74),P$4&lt;=IF($M74="",12,$M74)),$O74,0)</f>
        <v>341.33</v>
      </c>
      <c r="Q74" s="17" t="n">
        <f aca="false">IF(AND(Q$4&gt;=IF($L74="",1,$L74),Q$4&lt;=IF($M74="",12,$M74)),$O74,0)</f>
        <v>341.33</v>
      </c>
      <c r="R74" s="17" t="n">
        <f aca="false">IF(AND(R$4&gt;=IF($L74="",1,$L74),R$4&lt;=IF($M74="",12,$M74)),$O74,0)</f>
        <v>341.33</v>
      </c>
      <c r="S74" s="17" t="n">
        <f aca="false">IF(AND(S$4&gt;=IF($L74="",1,$L74),S$4&lt;=IF($M74="",12,$M74)),$O74,0)</f>
        <v>341.33</v>
      </c>
      <c r="T74" s="17" t="n">
        <f aca="false">IF(AND(T$4&gt;=IF($L74="",1,$L74),T$4&lt;=IF($M74="",12,$M74)),$O74,0)</f>
        <v>341.33</v>
      </c>
      <c r="U74" s="17" t="n">
        <f aca="false">IF(AND(U$4&gt;=IF($L74="",1,$L74),U$4&lt;=IF($M74="",12,$M74)),$O74,0)</f>
        <v>341.33</v>
      </c>
      <c r="V74" s="17" t="n">
        <f aca="false">IF(AND(V$4&gt;=IF($L74="",1,$L74),V$4&lt;=IF($M74="",12,$M74)),$O74,0)</f>
        <v>341.33</v>
      </c>
      <c r="W74" s="17" t="n">
        <f aca="false">IF(AND(W$4&gt;=IF($L74="",1,$L74),W$4&lt;=IF($M74="",12,$M74)),$O74,0)</f>
        <v>341.33</v>
      </c>
      <c r="X74" s="17" t="n">
        <f aca="false">IF(AND(X$4&gt;=IF($L74="",1,$L74),X$4&lt;=IF($M74="",12,$M74)),$O74,0)</f>
        <v>341.33</v>
      </c>
      <c r="Y74" s="17" t="n">
        <f aca="false">IF(AND(Y$4&gt;=IF($L74="",1,$L74),Y$4&lt;=IF($M74="",12,$M74)),$O74,0)</f>
        <v>341.33</v>
      </c>
      <c r="Z74" s="17" t="n">
        <f aca="false">IF(AND(Z$4&gt;=IF($L74="",1,$L74),Z$4&lt;=IF($M74="",12,$M74)),$O74,0)</f>
        <v>341.33</v>
      </c>
      <c r="AA74" s="17" t="n">
        <f aca="false">IF(AND(AA$4&gt;=IF($L74="",1,$L74),AA$4&lt;=IF($M74="",12,$M74)),$O74,0)</f>
        <v>341.33</v>
      </c>
      <c r="AB74" s="18" t="n">
        <f aca="false">SUM(P74:AA74)</f>
        <v>4095.96</v>
      </c>
    </row>
    <row r="75" customFormat="false" ht="15" hidden="false" customHeight="false" outlineLevel="0" collapsed="false">
      <c r="A75" s="42" t="s">
        <v>331</v>
      </c>
      <c r="B75" s="25" t="s">
        <v>65</v>
      </c>
      <c r="C75" s="43" t="s">
        <v>252</v>
      </c>
      <c r="D75" s="44" t="s">
        <v>253</v>
      </c>
      <c r="E75" s="45" t="n">
        <v>0.0513</v>
      </c>
      <c r="F75" s="40" t="n">
        <v>986.69</v>
      </c>
      <c r="G75" s="46" t="n">
        <f aca="false">IFERROR(IF($F75&gt;0,MAX(0,INDEX('XERO ACTUALS'!$T$5:$T$132,MATCH($A75,'XERO ACTUALS'!$A$5:$A$132,0))-$F75),INDEX('XERO ACTUALS'!$T$5:$T$132,MATCH($A75,'XERO ACTUALS'!$A$5:$A$132,0)))*IF($E75="",1,$E75),"")</f>
        <v>30.982122</v>
      </c>
      <c r="H75" s="40" t="n">
        <v>5.16</v>
      </c>
      <c r="I75" s="26" t="s">
        <v>254</v>
      </c>
      <c r="J75" s="32"/>
      <c r="K75" s="27" t="n">
        <v>0</v>
      </c>
      <c r="L75" s="26" t="n">
        <v>1</v>
      </c>
      <c r="M75" s="26" t="n">
        <v>12</v>
      </c>
      <c r="N75" s="47" t="s">
        <v>255</v>
      </c>
      <c r="O75" s="18" t="n">
        <f aca="false">IF($N75="N",0,IF($A75="",0,(IF($J75&lt;&gt;"",$J75,IF($I75="BUDGET",IF($H75="",0,$H75),IF($G75="",0,$G75))))*(1+IF($K75="",0,$K75))))</f>
        <v>30.982122</v>
      </c>
      <c r="P75" s="17" t="n">
        <f aca="false">IF(AND(P$4&gt;=IF($L75="",1,$L75),P$4&lt;=IF($M75="",12,$M75)),$O75,0)</f>
        <v>30.982122</v>
      </c>
      <c r="Q75" s="17" t="n">
        <f aca="false">IF(AND(Q$4&gt;=IF($L75="",1,$L75),Q$4&lt;=IF($M75="",12,$M75)),$O75,0)</f>
        <v>30.982122</v>
      </c>
      <c r="R75" s="17" t="n">
        <f aca="false">IF(AND(R$4&gt;=IF($L75="",1,$L75),R$4&lt;=IF($M75="",12,$M75)),$O75,0)</f>
        <v>30.982122</v>
      </c>
      <c r="S75" s="17" t="n">
        <f aca="false">IF(AND(S$4&gt;=IF($L75="",1,$L75),S$4&lt;=IF($M75="",12,$M75)),$O75,0)</f>
        <v>30.982122</v>
      </c>
      <c r="T75" s="17" t="n">
        <f aca="false">IF(AND(T$4&gt;=IF($L75="",1,$L75),T$4&lt;=IF($M75="",12,$M75)),$O75,0)</f>
        <v>30.982122</v>
      </c>
      <c r="U75" s="17" t="n">
        <f aca="false">IF(AND(U$4&gt;=IF($L75="",1,$L75),U$4&lt;=IF($M75="",12,$M75)),$O75,0)</f>
        <v>30.982122</v>
      </c>
      <c r="V75" s="17" t="n">
        <f aca="false">IF(AND(V$4&gt;=IF($L75="",1,$L75),V$4&lt;=IF($M75="",12,$M75)),$O75,0)</f>
        <v>30.982122</v>
      </c>
      <c r="W75" s="17" t="n">
        <f aca="false">IF(AND(W$4&gt;=IF($L75="",1,$L75),W$4&lt;=IF($M75="",12,$M75)),$O75,0)</f>
        <v>30.982122</v>
      </c>
      <c r="X75" s="17" t="n">
        <f aca="false">IF(AND(X$4&gt;=IF($L75="",1,$L75),X$4&lt;=IF($M75="",12,$M75)),$O75,0)</f>
        <v>30.982122</v>
      </c>
      <c r="Y75" s="17" t="n">
        <f aca="false">IF(AND(Y$4&gt;=IF($L75="",1,$L75),Y$4&lt;=IF($M75="",12,$M75)),$O75,0)</f>
        <v>30.982122</v>
      </c>
      <c r="Z75" s="17" t="n">
        <f aca="false">IF(AND(Z$4&gt;=IF($L75="",1,$L75),Z$4&lt;=IF($M75="",12,$M75)),$O75,0)</f>
        <v>30.982122</v>
      </c>
      <c r="AA75" s="17" t="n">
        <f aca="false">IF(AND(AA$4&gt;=IF($L75="",1,$L75),AA$4&lt;=IF($M75="",12,$M75)),$O75,0)</f>
        <v>30.982122</v>
      </c>
      <c r="AB75" s="18" t="n">
        <f aca="false">SUM(P75:AA75)</f>
        <v>371.785464</v>
      </c>
    </row>
    <row r="76" customFormat="false" ht="15" hidden="false" customHeight="false" outlineLevel="0" collapsed="false">
      <c r="A76" s="16" t="s">
        <v>332</v>
      </c>
      <c r="B76" s="25" t="s">
        <v>65</v>
      </c>
      <c r="C76" s="43" t="s">
        <v>264</v>
      </c>
      <c r="D76" s="44" t="s">
        <v>265</v>
      </c>
      <c r="E76" s="45"/>
      <c r="F76" s="40"/>
      <c r="G76" s="46"/>
      <c r="H76" s="40" t="n">
        <v>3.99</v>
      </c>
      <c r="I76" s="26" t="s">
        <v>266</v>
      </c>
      <c r="J76" s="32"/>
      <c r="K76" s="27" t="n">
        <v>0</v>
      </c>
      <c r="L76" s="26" t="n">
        <v>1</v>
      </c>
      <c r="M76" s="26" t="n">
        <v>12</v>
      </c>
      <c r="N76" s="47" t="s">
        <v>267</v>
      </c>
      <c r="O76" s="18" t="n">
        <f aca="false">IF($N76="N",0,IF($A76="",0,(IF($J76&lt;&gt;"",$J76,IF($I76="BUDGET",IF($H76="",0,$H76),IF($G76="",0,$G76))))*(1+IF($K76="",0,$K76))))</f>
        <v>0</v>
      </c>
      <c r="P76" s="17" t="n">
        <f aca="false">IF(AND(P$4&gt;=IF($L76="",1,$L76),P$4&lt;=IF($M76="",12,$M76)),$O76,0)</f>
        <v>0</v>
      </c>
      <c r="Q76" s="17" t="n">
        <f aca="false">IF(AND(Q$4&gt;=IF($L76="",1,$L76),Q$4&lt;=IF($M76="",12,$M76)),$O76,0)</f>
        <v>0</v>
      </c>
      <c r="R76" s="17" t="n">
        <f aca="false">IF(AND(R$4&gt;=IF($L76="",1,$L76),R$4&lt;=IF($M76="",12,$M76)),$O76,0)</f>
        <v>0</v>
      </c>
      <c r="S76" s="17" t="n">
        <f aca="false">IF(AND(S$4&gt;=IF($L76="",1,$L76),S$4&lt;=IF($M76="",12,$M76)),$O76,0)</f>
        <v>0</v>
      </c>
      <c r="T76" s="17" t="n">
        <f aca="false">IF(AND(T$4&gt;=IF($L76="",1,$L76),T$4&lt;=IF($M76="",12,$M76)),$O76,0)</f>
        <v>0</v>
      </c>
      <c r="U76" s="17" t="n">
        <f aca="false">IF(AND(U$4&gt;=IF($L76="",1,$L76),U$4&lt;=IF($M76="",12,$M76)),$O76,0)</f>
        <v>0</v>
      </c>
      <c r="V76" s="17" t="n">
        <f aca="false">IF(AND(V$4&gt;=IF($L76="",1,$L76),V$4&lt;=IF($M76="",12,$M76)),$O76,0)</f>
        <v>0</v>
      </c>
      <c r="W76" s="17" t="n">
        <f aca="false">IF(AND(W$4&gt;=IF($L76="",1,$L76),W$4&lt;=IF($M76="",12,$M76)),$O76,0)</f>
        <v>0</v>
      </c>
      <c r="X76" s="17" t="n">
        <f aca="false">IF(AND(X$4&gt;=IF($L76="",1,$L76),X$4&lt;=IF($M76="",12,$M76)),$O76,0)</f>
        <v>0</v>
      </c>
      <c r="Y76" s="17" t="n">
        <f aca="false">IF(AND(Y$4&gt;=IF($L76="",1,$L76),Y$4&lt;=IF($M76="",12,$M76)),$O76,0)</f>
        <v>0</v>
      </c>
      <c r="Z76" s="17" t="n">
        <f aca="false">IF(AND(Z$4&gt;=IF($L76="",1,$L76),Z$4&lt;=IF($M76="",12,$M76)),$O76,0)</f>
        <v>0</v>
      </c>
      <c r="AA76" s="17" t="n">
        <f aca="false">IF(AND(AA$4&gt;=IF($L76="",1,$L76),AA$4&lt;=IF($M76="",12,$M76)),$O76,0)</f>
        <v>0</v>
      </c>
      <c r="AB76" s="18" t="n">
        <f aca="false">SUM(P76:AA76)</f>
        <v>0</v>
      </c>
    </row>
    <row r="77" customFormat="false" ht="15" hidden="false" customHeight="false" outlineLevel="0" collapsed="false">
      <c r="A77" s="42" t="s">
        <v>333</v>
      </c>
      <c r="B77" s="25" t="s">
        <v>66</v>
      </c>
      <c r="C77" s="43" t="s">
        <v>252</v>
      </c>
      <c r="D77" s="44" t="s">
        <v>253</v>
      </c>
      <c r="E77" s="45" t="n">
        <v>1</v>
      </c>
      <c r="F77" s="40"/>
      <c r="G77" s="46" t="n">
        <f aca="false">IFERROR(IF($F77&gt;0,MAX(0,INDEX('XERO ACTUALS'!$T$5:$T$132,MATCH($A77,'XERO ACTUALS'!$A$5:$A$132,0))-$F77),INDEX('XERO ACTUALS'!$T$5:$T$132,MATCH($A77,'XERO ACTUALS'!$A$5:$A$132,0)))*IF($E77="",1,$E77),"")</f>
        <v>1043</v>
      </c>
      <c r="H77" s="40" t="n">
        <v>1043</v>
      </c>
      <c r="I77" s="26" t="s">
        <v>254</v>
      </c>
      <c r="J77" s="32"/>
      <c r="K77" s="27" t="n">
        <v>0</v>
      </c>
      <c r="L77" s="26" t="n">
        <v>1</v>
      </c>
      <c r="M77" s="26" t="n">
        <v>12</v>
      </c>
      <c r="N77" s="47" t="s">
        <v>255</v>
      </c>
      <c r="O77" s="18" t="n">
        <f aca="false">IF($N77="N",0,IF($A77="",0,(IF($J77&lt;&gt;"",$J77,IF($I77="BUDGET",IF($H77="",0,$H77),IF($G77="",0,$G77))))*(1+IF($K77="",0,$K77))))</f>
        <v>1043</v>
      </c>
      <c r="P77" s="17" t="n">
        <f aca="false">IF(AND(P$4&gt;=IF($L77="",1,$L77),P$4&lt;=IF($M77="",12,$M77)),$O77,0)</f>
        <v>1043</v>
      </c>
      <c r="Q77" s="17" t="n">
        <f aca="false">IF(AND(Q$4&gt;=IF($L77="",1,$L77),Q$4&lt;=IF($M77="",12,$M77)),$O77,0)</f>
        <v>1043</v>
      </c>
      <c r="R77" s="17" t="n">
        <f aca="false">IF(AND(R$4&gt;=IF($L77="",1,$L77),R$4&lt;=IF($M77="",12,$M77)),$O77,0)</f>
        <v>1043</v>
      </c>
      <c r="S77" s="17" t="n">
        <f aca="false">IF(AND(S$4&gt;=IF($L77="",1,$L77),S$4&lt;=IF($M77="",12,$M77)),$O77,0)</f>
        <v>1043</v>
      </c>
      <c r="T77" s="17" t="n">
        <f aca="false">IF(AND(T$4&gt;=IF($L77="",1,$L77),T$4&lt;=IF($M77="",12,$M77)),$O77,0)</f>
        <v>1043</v>
      </c>
      <c r="U77" s="17" t="n">
        <f aca="false">IF(AND(U$4&gt;=IF($L77="",1,$L77),U$4&lt;=IF($M77="",12,$M77)),$O77,0)</f>
        <v>1043</v>
      </c>
      <c r="V77" s="17" t="n">
        <f aca="false">IF(AND(V$4&gt;=IF($L77="",1,$L77),V$4&lt;=IF($M77="",12,$M77)),$O77,0)</f>
        <v>1043</v>
      </c>
      <c r="W77" s="17" t="n">
        <f aca="false">IF(AND(W$4&gt;=IF($L77="",1,$L77),W$4&lt;=IF($M77="",12,$M77)),$O77,0)</f>
        <v>1043</v>
      </c>
      <c r="X77" s="17" t="n">
        <f aca="false">IF(AND(X$4&gt;=IF($L77="",1,$L77),X$4&lt;=IF($M77="",12,$M77)),$O77,0)</f>
        <v>1043</v>
      </c>
      <c r="Y77" s="17" t="n">
        <f aca="false">IF(AND(Y$4&gt;=IF($L77="",1,$L77),Y$4&lt;=IF($M77="",12,$M77)),$O77,0)</f>
        <v>1043</v>
      </c>
      <c r="Z77" s="17" t="n">
        <f aca="false">IF(AND(Z$4&gt;=IF($L77="",1,$L77),Z$4&lt;=IF($M77="",12,$M77)),$O77,0)</f>
        <v>1043</v>
      </c>
      <c r="AA77" s="17" t="n">
        <f aca="false">IF(AND(AA$4&gt;=IF($L77="",1,$L77),AA$4&lt;=IF($M77="",12,$M77)),$O77,0)</f>
        <v>1043</v>
      </c>
      <c r="AB77" s="18" t="n">
        <f aca="false">SUM(P77:AA77)</f>
        <v>12516</v>
      </c>
    </row>
    <row r="78" customFormat="false" ht="15" hidden="false" customHeight="false" outlineLevel="0" collapsed="false">
      <c r="A78" s="16" t="s">
        <v>334</v>
      </c>
      <c r="B78" s="25" t="s">
        <v>66</v>
      </c>
      <c r="C78" s="43" t="s">
        <v>264</v>
      </c>
      <c r="D78" s="44" t="s">
        <v>265</v>
      </c>
      <c r="E78" s="45"/>
      <c r="F78" s="40"/>
      <c r="G78" s="46"/>
      <c r="H78" s="40" t="n">
        <v>550</v>
      </c>
      <c r="I78" s="26" t="s">
        <v>266</v>
      </c>
      <c r="J78" s="32"/>
      <c r="K78" s="27" t="n">
        <v>0</v>
      </c>
      <c r="L78" s="26" t="n">
        <v>1</v>
      </c>
      <c r="M78" s="26" t="n">
        <v>12</v>
      </c>
      <c r="N78" s="47" t="s">
        <v>267</v>
      </c>
      <c r="O78" s="18" t="n">
        <f aca="false">IF($N78="N",0,IF($A78="",0,(IF($J78&lt;&gt;"",$J78,IF($I78="BUDGET",IF($H78="",0,$H78),IF($G78="",0,$G78))))*(1+IF($K78="",0,$K78))))</f>
        <v>0</v>
      </c>
      <c r="P78" s="17" t="n">
        <f aca="false">IF(AND(P$4&gt;=IF($L78="",1,$L78),P$4&lt;=IF($M78="",12,$M78)),$O78,0)</f>
        <v>0</v>
      </c>
      <c r="Q78" s="17" t="n">
        <f aca="false">IF(AND(Q$4&gt;=IF($L78="",1,$L78),Q$4&lt;=IF($M78="",12,$M78)),$O78,0)</f>
        <v>0</v>
      </c>
      <c r="R78" s="17" t="n">
        <f aca="false">IF(AND(R$4&gt;=IF($L78="",1,$L78),R$4&lt;=IF($M78="",12,$M78)),$O78,0)</f>
        <v>0</v>
      </c>
      <c r="S78" s="17" t="n">
        <f aca="false">IF(AND(S$4&gt;=IF($L78="",1,$L78),S$4&lt;=IF($M78="",12,$M78)),$O78,0)</f>
        <v>0</v>
      </c>
      <c r="T78" s="17" t="n">
        <f aca="false">IF(AND(T$4&gt;=IF($L78="",1,$L78),T$4&lt;=IF($M78="",12,$M78)),$O78,0)</f>
        <v>0</v>
      </c>
      <c r="U78" s="17" t="n">
        <f aca="false">IF(AND(U$4&gt;=IF($L78="",1,$L78),U$4&lt;=IF($M78="",12,$M78)),$O78,0)</f>
        <v>0</v>
      </c>
      <c r="V78" s="17" t="n">
        <f aca="false">IF(AND(V$4&gt;=IF($L78="",1,$L78),V$4&lt;=IF($M78="",12,$M78)),$O78,0)</f>
        <v>0</v>
      </c>
      <c r="W78" s="17" t="n">
        <f aca="false">IF(AND(W$4&gt;=IF($L78="",1,$L78),W$4&lt;=IF($M78="",12,$M78)),$O78,0)</f>
        <v>0</v>
      </c>
      <c r="X78" s="17" t="n">
        <f aca="false">IF(AND(X$4&gt;=IF($L78="",1,$L78),X$4&lt;=IF($M78="",12,$M78)),$O78,0)</f>
        <v>0</v>
      </c>
      <c r="Y78" s="17" t="n">
        <f aca="false">IF(AND(Y$4&gt;=IF($L78="",1,$L78),Y$4&lt;=IF($M78="",12,$M78)),$O78,0)</f>
        <v>0</v>
      </c>
      <c r="Z78" s="17" t="n">
        <f aca="false">IF(AND(Z$4&gt;=IF($L78="",1,$L78),Z$4&lt;=IF($M78="",12,$M78)),$O78,0)</f>
        <v>0</v>
      </c>
      <c r="AA78" s="17" t="n">
        <f aca="false">IF(AND(AA$4&gt;=IF($L78="",1,$L78),AA$4&lt;=IF($M78="",12,$M78)),$O78,0)</f>
        <v>0</v>
      </c>
      <c r="AB78" s="18" t="n">
        <f aca="false">SUM(P78:AA78)</f>
        <v>0</v>
      </c>
    </row>
    <row r="79" customFormat="false" ht="15" hidden="false" customHeight="false" outlineLevel="0" collapsed="false">
      <c r="A79" s="16" t="s">
        <v>335</v>
      </c>
      <c r="B79" s="25" t="s">
        <v>66</v>
      </c>
      <c r="C79" s="43" t="s">
        <v>264</v>
      </c>
      <c r="D79" s="44" t="s">
        <v>265</v>
      </c>
      <c r="E79" s="45"/>
      <c r="F79" s="40"/>
      <c r="G79" s="46"/>
      <c r="H79" s="40" t="n">
        <v>150</v>
      </c>
      <c r="I79" s="26" t="s">
        <v>266</v>
      </c>
      <c r="J79" s="32"/>
      <c r="K79" s="27" t="n">
        <v>0</v>
      </c>
      <c r="L79" s="26" t="n">
        <v>1</v>
      </c>
      <c r="M79" s="26" t="n">
        <v>12</v>
      </c>
      <c r="N79" s="47" t="s">
        <v>267</v>
      </c>
      <c r="O79" s="18" t="n">
        <f aca="false">IF($N79="N",0,IF($A79="",0,(IF($J79&lt;&gt;"",$J79,IF($I79="BUDGET",IF($H79="",0,$H79),IF($G79="",0,$G79))))*(1+IF($K79="",0,$K79))))</f>
        <v>0</v>
      </c>
      <c r="P79" s="17" t="n">
        <f aca="false">IF(AND(P$4&gt;=IF($L79="",1,$L79),P$4&lt;=IF($M79="",12,$M79)),$O79,0)</f>
        <v>0</v>
      </c>
      <c r="Q79" s="17" t="n">
        <f aca="false">IF(AND(Q$4&gt;=IF($L79="",1,$L79),Q$4&lt;=IF($M79="",12,$M79)),$O79,0)</f>
        <v>0</v>
      </c>
      <c r="R79" s="17" t="n">
        <f aca="false">IF(AND(R$4&gt;=IF($L79="",1,$L79),R$4&lt;=IF($M79="",12,$M79)),$O79,0)</f>
        <v>0</v>
      </c>
      <c r="S79" s="17" t="n">
        <f aca="false">IF(AND(S$4&gt;=IF($L79="",1,$L79),S$4&lt;=IF($M79="",12,$M79)),$O79,0)</f>
        <v>0</v>
      </c>
      <c r="T79" s="17" t="n">
        <f aca="false">IF(AND(T$4&gt;=IF($L79="",1,$L79),T$4&lt;=IF($M79="",12,$M79)),$O79,0)</f>
        <v>0</v>
      </c>
      <c r="U79" s="17" t="n">
        <f aca="false">IF(AND(U$4&gt;=IF($L79="",1,$L79),U$4&lt;=IF($M79="",12,$M79)),$O79,0)</f>
        <v>0</v>
      </c>
      <c r="V79" s="17" t="n">
        <f aca="false">IF(AND(V$4&gt;=IF($L79="",1,$L79),V$4&lt;=IF($M79="",12,$M79)),$O79,0)</f>
        <v>0</v>
      </c>
      <c r="W79" s="17" t="n">
        <f aca="false">IF(AND(W$4&gt;=IF($L79="",1,$L79),W$4&lt;=IF($M79="",12,$M79)),$O79,0)</f>
        <v>0</v>
      </c>
      <c r="X79" s="17" t="n">
        <f aca="false">IF(AND(X$4&gt;=IF($L79="",1,$L79),X$4&lt;=IF($M79="",12,$M79)),$O79,0)</f>
        <v>0</v>
      </c>
      <c r="Y79" s="17" t="n">
        <f aca="false">IF(AND(Y$4&gt;=IF($L79="",1,$L79),Y$4&lt;=IF($M79="",12,$M79)),$O79,0)</f>
        <v>0</v>
      </c>
      <c r="Z79" s="17" t="n">
        <f aca="false">IF(AND(Z$4&gt;=IF($L79="",1,$L79),Z$4&lt;=IF($M79="",12,$M79)),$O79,0)</f>
        <v>0</v>
      </c>
      <c r="AA79" s="17" t="n">
        <f aca="false">IF(AND(AA$4&gt;=IF($L79="",1,$L79),AA$4&lt;=IF($M79="",12,$M79)),$O79,0)</f>
        <v>0</v>
      </c>
      <c r="AB79" s="18" t="n">
        <f aca="false">SUM(P79:AA79)</f>
        <v>0</v>
      </c>
    </row>
    <row r="80" customFormat="false" ht="15" hidden="false" customHeight="false" outlineLevel="0" collapsed="false">
      <c r="A80" s="16" t="s">
        <v>336</v>
      </c>
      <c r="B80" s="25" t="s">
        <v>67</v>
      </c>
      <c r="C80" s="43" t="s">
        <v>264</v>
      </c>
      <c r="D80" s="44" t="s">
        <v>265</v>
      </c>
      <c r="E80" s="45"/>
      <c r="F80" s="40"/>
      <c r="G80" s="46"/>
      <c r="H80" s="40" t="n">
        <v>5000</v>
      </c>
      <c r="I80" s="26" t="s">
        <v>266</v>
      </c>
      <c r="J80" s="32"/>
      <c r="K80" s="27" t="n">
        <v>0</v>
      </c>
      <c r="L80" s="26" t="n">
        <v>1</v>
      </c>
      <c r="M80" s="26" t="n">
        <v>12</v>
      </c>
      <c r="N80" s="47" t="s">
        <v>267</v>
      </c>
      <c r="O80" s="18" t="n">
        <f aca="false">IF($N80="N",0,IF($A80="",0,(IF($J80&lt;&gt;"",$J80,IF($I80="BUDGET",IF($H80="",0,$H80),IF($G80="",0,$G80))))*(1+IF($K80="",0,$K80))))</f>
        <v>0</v>
      </c>
      <c r="P80" s="17" t="n">
        <f aca="false">IF(AND(P$4&gt;=IF($L80="",1,$L80),P$4&lt;=IF($M80="",12,$M80)),$O80,0)</f>
        <v>0</v>
      </c>
      <c r="Q80" s="17" t="n">
        <f aca="false">IF(AND(Q$4&gt;=IF($L80="",1,$L80),Q$4&lt;=IF($M80="",12,$M80)),$O80,0)</f>
        <v>0</v>
      </c>
      <c r="R80" s="17" t="n">
        <f aca="false">IF(AND(R$4&gt;=IF($L80="",1,$L80),R$4&lt;=IF($M80="",12,$M80)),$O80,0)</f>
        <v>0</v>
      </c>
      <c r="S80" s="17" t="n">
        <f aca="false">IF(AND(S$4&gt;=IF($L80="",1,$L80),S$4&lt;=IF($M80="",12,$M80)),$O80,0)</f>
        <v>0</v>
      </c>
      <c r="T80" s="17" t="n">
        <f aca="false">IF(AND(T$4&gt;=IF($L80="",1,$L80),T$4&lt;=IF($M80="",12,$M80)),$O80,0)</f>
        <v>0</v>
      </c>
      <c r="U80" s="17" t="n">
        <f aca="false">IF(AND(U$4&gt;=IF($L80="",1,$L80),U$4&lt;=IF($M80="",12,$M80)),$O80,0)</f>
        <v>0</v>
      </c>
      <c r="V80" s="17" t="n">
        <f aca="false">IF(AND(V$4&gt;=IF($L80="",1,$L80),V$4&lt;=IF($M80="",12,$M80)),$O80,0)</f>
        <v>0</v>
      </c>
      <c r="W80" s="17" t="n">
        <f aca="false">IF(AND(W$4&gt;=IF($L80="",1,$L80),W$4&lt;=IF($M80="",12,$M80)),$O80,0)</f>
        <v>0</v>
      </c>
      <c r="X80" s="17" t="n">
        <f aca="false">IF(AND(X$4&gt;=IF($L80="",1,$L80),X$4&lt;=IF($M80="",12,$M80)),$O80,0)</f>
        <v>0</v>
      </c>
      <c r="Y80" s="17" t="n">
        <f aca="false">IF(AND(Y$4&gt;=IF($L80="",1,$L80),Y$4&lt;=IF($M80="",12,$M80)),$O80,0)</f>
        <v>0</v>
      </c>
      <c r="Z80" s="17" t="n">
        <f aca="false">IF(AND(Z$4&gt;=IF($L80="",1,$L80),Z$4&lt;=IF($M80="",12,$M80)),$O80,0)</f>
        <v>0</v>
      </c>
      <c r="AA80" s="17" t="n">
        <f aca="false">IF(AND(AA$4&gt;=IF($L80="",1,$L80),AA$4&lt;=IF($M80="",12,$M80)),$O80,0)</f>
        <v>0</v>
      </c>
      <c r="AB80" s="18" t="n">
        <f aca="false">SUM(P80:AA80)</f>
        <v>0</v>
      </c>
    </row>
    <row r="81" customFormat="false" ht="15" hidden="false" customHeight="false" outlineLevel="0" collapsed="false">
      <c r="A81" s="16" t="s">
        <v>337</v>
      </c>
      <c r="B81" s="25" t="s">
        <v>67</v>
      </c>
      <c r="C81" s="43" t="s">
        <v>264</v>
      </c>
      <c r="D81" s="44" t="s">
        <v>265</v>
      </c>
      <c r="E81" s="45"/>
      <c r="F81" s="40" t="n">
        <v>828</v>
      </c>
      <c r="G81" s="46"/>
      <c r="H81" s="40" t="n">
        <v>1259.08</v>
      </c>
      <c r="I81" s="26" t="s">
        <v>266</v>
      </c>
      <c r="J81" s="32"/>
      <c r="K81" s="27" t="n">
        <v>0</v>
      </c>
      <c r="L81" s="26" t="n">
        <v>1</v>
      </c>
      <c r="M81" s="26" t="n">
        <v>12</v>
      </c>
      <c r="N81" s="47" t="s">
        <v>267</v>
      </c>
      <c r="O81" s="18" t="n">
        <f aca="false">IF($N81="N",0,IF($A81="",0,(IF($J81&lt;&gt;"",$J81,IF($I81="BUDGET",IF($H81="",0,$H81),IF($G81="",0,$G81))))*(1+IF($K81="",0,$K81))))</f>
        <v>0</v>
      </c>
      <c r="P81" s="17" t="n">
        <f aca="false">IF(AND(P$4&gt;=IF($L81="",1,$L81),P$4&lt;=IF($M81="",12,$M81)),$O81,0)</f>
        <v>0</v>
      </c>
      <c r="Q81" s="17" t="n">
        <f aca="false">IF(AND(Q$4&gt;=IF($L81="",1,$L81),Q$4&lt;=IF($M81="",12,$M81)),$O81,0)</f>
        <v>0</v>
      </c>
      <c r="R81" s="17" t="n">
        <f aca="false">IF(AND(R$4&gt;=IF($L81="",1,$L81),R$4&lt;=IF($M81="",12,$M81)),$O81,0)</f>
        <v>0</v>
      </c>
      <c r="S81" s="17" t="n">
        <f aca="false">IF(AND(S$4&gt;=IF($L81="",1,$L81),S$4&lt;=IF($M81="",12,$M81)),$O81,0)</f>
        <v>0</v>
      </c>
      <c r="T81" s="17" t="n">
        <f aca="false">IF(AND(T$4&gt;=IF($L81="",1,$L81),T$4&lt;=IF($M81="",12,$M81)),$O81,0)</f>
        <v>0</v>
      </c>
      <c r="U81" s="17" t="n">
        <f aca="false">IF(AND(U$4&gt;=IF($L81="",1,$L81),U$4&lt;=IF($M81="",12,$M81)),$O81,0)</f>
        <v>0</v>
      </c>
      <c r="V81" s="17" t="n">
        <f aca="false">IF(AND(V$4&gt;=IF($L81="",1,$L81),V$4&lt;=IF($M81="",12,$M81)),$O81,0)</f>
        <v>0</v>
      </c>
      <c r="W81" s="17" t="n">
        <f aca="false">IF(AND(W$4&gt;=IF($L81="",1,$L81),W$4&lt;=IF($M81="",12,$M81)),$O81,0)</f>
        <v>0</v>
      </c>
      <c r="X81" s="17" t="n">
        <f aca="false">IF(AND(X$4&gt;=IF($L81="",1,$L81),X$4&lt;=IF($M81="",12,$M81)),$O81,0)</f>
        <v>0</v>
      </c>
      <c r="Y81" s="17" t="n">
        <f aca="false">IF(AND(Y$4&gt;=IF($L81="",1,$L81),Y$4&lt;=IF($M81="",12,$M81)),$O81,0)</f>
        <v>0</v>
      </c>
      <c r="Z81" s="17" t="n">
        <f aca="false">IF(AND(Z$4&gt;=IF($L81="",1,$L81),Z$4&lt;=IF($M81="",12,$M81)),$O81,0)</f>
        <v>0</v>
      </c>
      <c r="AA81" s="17" t="n">
        <f aca="false">IF(AND(AA$4&gt;=IF($L81="",1,$L81),AA$4&lt;=IF($M81="",12,$M81)),$O81,0)</f>
        <v>0</v>
      </c>
      <c r="AB81" s="18" t="n">
        <f aca="false">SUM(P81:AA81)</f>
        <v>0</v>
      </c>
    </row>
    <row r="82" customFormat="false" ht="15" hidden="false" customHeight="false" outlineLevel="0" collapsed="false">
      <c r="A82" s="42" t="s">
        <v>338</v>
      </c>
      <c r="B82" s="25" t="s">
        <v>67</v>
      </c>
      <c r="C82" s="43" t="s">
        <v>252</v>
      </c>
      <c r="D82" s="44" t="s">
        <v>253</v>
      </c>
      <c r="E82" s="45" t="n">
        <v>1</v>
      </c>
      <c r="F82" s="40"/>
      <c r="G82" s="46" t="n">
        <f aca="false">IFERROR(IF($F82&gt;0,MAX(0,INDEX('XERO ACTUALS'!$T$5:$T$132,MATCH($A82,'XERO ACTUALS'!$A$5:$A$132,0))-$F82),INDEX('XERO ACTUALS'!$T$5:$T$132,MATCH($A82,'XERO ACTUALS'!$A$5:$A$132,0)))*IF($E82="",1,$E82),"")</f>
        <v>1200</v>
      </c>
      <c r="H82" s="40" t="n">
        <v>1307</v>
      </c>
      <c r="I82" s="26" t="s">
        <v>254</v>
      </c>
      <c r="J82" s="32"/>
      <c r="K82" s="27" t="n">
        <v>0</v>
      </c>
      <c r="L82" s="26" t="n">
        <v>1</v>
      </c>
      <c r="M82" s="26" t="n">
        <v>12</v>
      </c>
      <c r="N82" s="47" t="s">
        <v>255</v>
      </c>
      <c r="O82" s="18" t="n">
        <f aca="false">IF($N82="N",0,IF($A82="",0,(IF($J82&lt;&gt;"",$J82,IF($I82="BUDGET",IF($H82="",0,$H82),IF($G82="",0,$G82))))*(1+IF($K82="",0,$K82))))</f>
        <v>1200</v>
      </c>
      <c r="P82" s="17" t="n">
        <f aca="false">IF(AND(P$4&gt;=IF($L82="",1,$L82),P$4&lt;=IF($M82="",12,$M82)),$O82,0)</f>
        <v>1200</v>
      </c>
      <c r="Q82" s="17" t="n">
        <f aca="false">IF(AND(Q$4&gt;=IF($L82="",1,$L82),Q$4&lt;=IF($M82="",12,$M82)),$O82,0)</f>
        <v>1200</v>
      </c>
      <c r="R82" s="17" t="n">
        <f aca="false">IF(AND(R$4&gt;=IF($L82="",1,$L82),R$4&lt;=IF($M82="",12,$M82)),$O82,0)</f>
        <v>1200</v>
      </c>
      <c r="S82" s="17" t="n">
        <f aca="false">IF(AND(S$4&gt;=IF($L82="",1,$L82),S$4&lt;=IF($M82="",12,$M82)),$O82,0)</f>
        <v>1200</v>
      </c>
      <c r="T82" s="17" t="n">
        <f aca="false">IF(AND(T$4&gt;=IF($L82="",1,$L82),T$4&lt;=IF($M82="",12,$M82)),$O82,0)</f>
        <v>1200</v>
      </c>
      <c r="U82" s="17" t="n">
        <f aca="false">IF(AND(U$4&gt;=IF($L82="",1,$L82),U$4&lt;=IF($M82="",12,$M82)),$O82,0)</f>
        <v>1200</v>
      </c>
      <c r="V82" s="17" t="n">
        <f aca="false">IF(AND(V$4&gt;=IF($L82="",1,$L82),V$4&lt;=IF($M82="",12,$M82)),$O82,0)</f>
        <v>1200</v>
      </c>
      <c r="W82" s="17" t="n">
        <f aca="false">IF(AND(W$4&gt;=IF($L82="",1,$L82),W$4&lt;=IF($M82="",12,$M82)),$O82,0)</f>
        <v>1200</v>
      </c>
      <c r="X82" s="17" t="n">
        <f aca="false">IF(AND(X$4&gt;=IF($L82="",1,$L82),X$4&lt;=IF($M82="",12,$M82)),$O82,0)</f>
        <v>1200</v>
      </c>
      <c r="Y82" s="17" t="n">
        <f aca="false">IF(AND(Y$4&gt;=IF($L82="",1,$L82),Y$4&lt;=IF($M82="",12,$M82)),$O82,0)</f>
        <v>1200</v>
      </c>
      <c r="Z82" s="17" t="n">
        <f aca="false">IF(AND(Z$4&gt;=IF($L82="",1,$L82),Z$4&lt;=IF($M82="",12,$M82)),$O82,0)</f>
        <v>1200</v>
      </c>
      <c r="AA82" s="17" t="n">
        <f aca="false">IF(AND(AA$4&gt;=IF($L82="",1,$L82),AA$4&lt;=IF($M82="",12,$M82)),$O82,0)</f>
        <v>1200</v>
      </c>
      <c r="AB82" s="18" t="n">
        <f aca="false">SUM(P82:AA82)</f>
        <v>14400</v>
      </c>
    </row>
    <row r="83" customFormat="false" ht="15" hidden="false" customHeight="false" outlineLevel="0" collapsed="false">
      <c r="A83" s="16" t="s">
        <v>339</v>
      </c>
      <c r="B83" s="25" t="s">
        <v>67</v>
      </c>
      <c r="C83" s="43" t="s">
        <v>264</v>
      </c>
      <c r="D83" s="44" t="s">
        <v>265</v>
      </c>
      <c r="E83" s="45"/>
      <c r="F83" s="40"/>
      <c r="G83" s="46"/>
      <c r="H83" s="40" t="n">
        <v>1000</v>
      </c>
      <c r="I83" s="26" t="s">
        <v>266</v>
      </c>
      <c r="J83" s="32"/>
      <c r="K83" s="27" t="n">
        <v>0</v>
      </c>
      <c r="L83" s="26" t="n">
        <v>1</v>
      </c>
      <c r="M83" s="26" t="n">
        <v>12</v>
      </c>
      <c r="N83" s="47" t="s">
        <v>267</v>
      </c>
      <c r="O83" s="18" t="n">
        <f aca="false">IF($N83="N",0,IF($A83="",0,(IF($J83&lt;&gt;"",$J83,IF($I83="BUDGET",IF($H83="",0,$H83),IF($G83="",0,$G83))))*(1+IF($K83="",0,$K83))))</f>
        <v>0</v>
      </c>
      <c r="P83" s="17" t="n">
        <f aca="false">IF(AND(P$4&gt;=IF($L83="",1,$L83),P$4&lt;=IF($M83="",12,$M83)),$O83,0)</f>
        <v>0</v>
      </c>
      <c r="Q83" s="17" t="n">
        <f aca="false">IF(AND(Q$4&gt;=IF($L83="",1,$L83),Q$4&lt;=IF($M83="",12,$M83)),$O83,0)</f>
        <v>0</v>
      </c>
      <c r="R83" s="17" t="n">
        <f aca="false">IF(AND(R$4&gt;=IF($L83="",1,$L83),R$4&lt;=IF($M83="",12,$M83)),$O83,0)</f>
        <v>0</v>
      </c>
      <c r="S83" s="17" t="n">
        <f aca="false">IF(AND(S$4&gt;=IF($L83="",1,$L83),S$4&lt;=IF($M83="",12,$M83)),$O83,0)</f>
        <v>0</v>
      </c>
      <c r="T83" s="17" t="n">
        <f aca="false">IF(AND(T$4&gt;=IF($L83="",1,$L83),T$4&lt;=IF($M83="",12,$M83)),$O83,0)</f>
        <v>0</v>
      </c>
      <c r="U83" s="17" t="n">
        <f aca="false">IF(AND(U$4&gt;=IF($L83="",1,$L83),U$4&lt;=IF($M83="",12,$M83)),$O83,0)</f>
        <v>0</v>
      </c>
      <c r="V83" s="17" t="n">
        <f aca="false">IF(AND(V$4&gt;=IF($L83="",1,$L83),V$4&lt;=IF($M83="",12,$M83)),$O83,0)</f>
        <v>0</v>
      </c>
      <c r="W83" s="17" t="n">
        <f aca="false">IF(AND(W$4&gt;=IF($L83="",1,$L83),W$4&lt;=IF($M83="",12,$M83)),$O83,0)</f>
        <v>0</v>
      </c>
      <c r="X83" s="17" t="n">
        <f aca="false">IF(AND(X$4&gt;=IF($L83="",1,$L83),X$4&lt;=IF($M83="",12,$M83)),$O83,0)</f>
        <v>0</v>
      </c>
      <c r="Y83" s="17" t="n">
        <f aca="false">IF(AND(Y$4&gt;=IF($L83="",1,$L83),Y$4&lt;=IF($M83="",12,$M83)),$O83,0)</f>
        <v>0</v>
      </c>
      <c r="Z83" s="17" t="n">
        <f aca="false">IF(AND(Z$4&gt;=IF($L83="",1,$L83),Z$4&lt;=IF($M83="",12,$M83)),$O83,0)</f>
        <v>0</v>
      </c>
      <c r="AA83" s="17" t="n">
        <f aca="false">IF(AND(AA$4&gt;=IF($L83="",1,$L83),AA$4&lt;=IF($M83="",12,$M83)),$O83,0)</f>
        <v>0</v>
      </c>
      <c r="AB83" s="18" t="n">
        <f aca="false">SUM(P83:AA83)</f>
        <v>0</v>
      </c>
    </row>
    <row r="84" customFormat="false" ht="15" hidden="false" customHeight="false" outlineLevel="0" collapsed="false">
      <c r="A84" s="42" t="s">
        <v>340</v>
      </c>
      <c r="B84" s="25" t="s">
        <v>67</v>
      </c>
      <c r="C84" s="43" t="s">
        <v>252</v>
      </c>
      <c r="D84" s="44" t="s">
        <v>253</v>
      </c>
      <c r="E84" s="45" t="n">
        <v>1</v>
      </c>
      <c r="F84" s="40"/>
      <c r="G84" s="46" t="n">
        <f aca="false">IFERROR(IF($F84&gt;0,MAX(0,INDEX('XERO ACTUALS'!$T$5:$T$132,MATCH($A84,'XERO ACTUALS'!$A$5:$A$132,0))-$F84),INDEX('XERO ACTUALS'!$T$5:$T$132,MATCH($A84,'XERO ACTUALS'!$A$5:$A$132,0)))*IF($E84="",1,$E84),"")</f>
        <v>737.333333333333</v>
      </c>
      <c r="H84" s="40" t="n">
        <v>591.17</v>
      </c>
      <c r="I84" s="26" t="s">
        <v>254</v>
      </c>
      <c r="J84" s="32"/>
      <c r="K84" s="27" t="n">
        <v>0</v>
      </c>
      <c r="L84" s="26" t="n">
        <v>1</v>
      </c>
      <c r="M84" s="26" t="n">
        <v>12</v>
      </c>
      <c r="N84" s="47" t="s">
        <v>255</v>
      </c>
      <c r="O84" s="18" t="n">
        <f aca="false">IF($N84="N",0,IF($A84="",0,(IF($J84&lt;&gt;"",$J84,IF($I84="BUDGET",IF($H84="",0,$H84),IF($G84="",0,$G84))))*(1+IF($K84="",0,$K84))))</f>
        <v>737.333333333333</v>
      </c>
      <c r="P84" s="17" t="n">
        <f aca="false">IF(AND(P$4&gt;=IF($L84="",1,$L84),P$4&lt;=IF($M84="",12,$M84)),$O84,0)</f>
        <v>737.333333333333</v>
      </c>
      <c r="Q84" s="17" t="n">
        <f aca="false">IF(AND(Q$4&gt;=IF($L84="",1,$L84),Q$4&lt;=IF($M84="",12,$M84)),$O84,0)</f>
        <v>737.333333333333</v>
      </c>
      <c r="R84" s="17" t="n">
        <f aca="false">IF(AND(R$4&gt;=IF($L84="",1,$L84),R$4&lt;=IF($M84="",12,$M84)),$O84,0)</f>
        <v>737.333333333333</v>
      </c>
      <c r="S84" s="17" t="n">
        <f aca="false">IF(AND(S$4&gt;=IF($L84="",1,$L84),S$4&lt;=IF($M84="",12,$M84)),$O84,0)</f>
        <v>737.333333333333</v>
      </c>
      <c r="T84" s="17" t="n">
        <f aca="false">IF(AND(T$4&gt;=IF($L84="",1,$L84),T$4&lt;=IF($M84="",12,$M84)),$O84,0)</f>
        <v>737.333333333333</v>
      </c>
      <c r="U84" s="17" t="n">
        <f aca="false">IF(AND(U$4&gt;=IF($L84="",1,$L84),U$4&lt;=IF($M84="",12,$M84)),$O84,0)</f>
        <v>737.333333333333</v>
      </c>
      <c r="V84" s="17" t="n">
        <f aca="false">IF(AND(V$4&gt;=IF($L84="",1,$L84),V$4&lt;=IF($M84="",12,$M84)),$O84,0)</f>
        <v>737.333333333333</v>
      </c>
      <c r="W84" s="17" t="n">
        <f aca="false">IF(AND(W$4&gt;=IF($L84="",1,$L84),W$4&lt;=IF($M84="",12,$M84)),$O84,0)</f>
        <v>737.333333333333</v>
      </c>
      <c r="X84" s="17" t="n">
        <f aca="false">IF(AND(X$4&gt;=IF($L84="",1,$L84),X$4&lt;=IF($M84="",12,$M84)),$O84,0)</f>
        <v>737.333333333333</v>
      </c>
      <c r="Y84" s="17" t="n">
        <f aca="false">IF(AND(Y$4&gt;=IF($L84="",1,$L84),Y$4&lt;=IF($M84="",12,$M84)),$O84,0)</f>
        <v>737.333333333333</v>
      </c>
      <c r="Z84" s="17" t="n">
        <f aca="false">IF(AND(Z$4&gt;=IF($L84="",1,$L84),Z$4&lt;=IF($M84="",12,$M84)),$O84,0)</f>
        <v>737.333333333333</v>
      </c>
      <c r="AA84" s="17" t="n">
        <f aca="false">IF(AND(AA$4&gt;=IF($L84="",1,$L84),AA$4&lt;=IF($M84="",12,$M84)),$O84,0)</f>
        <v>737.333333333333</v>
      </c>
      <c r="AB84" s="18" t="n">
        <f aca="false">SUM(P84:AA84)</f>
        <v>8848</v>
      </c>
    </row>
    <row r="85" customFormat="false" ht="15" hidden="false" customHeight="false" outlineLevel="0" collapsed="false">
      <c r="A85" s="42" t="s">
        <v>341</v>
      </c>
      <c r="B85" s="25" t="s">
        <v>67</v>
      </c>
      <c r="C85" s="43" t="s">
        <v>252</v>
      </c>
      <c r="D85" s="44" t="s">
        <v>253</v>
      </c>
      <c r="E85" s="45" t="n">
        <v>1</v>
      </c>
      <c r="F85" s="40"/>
      <c r="G85" s="46" t="n">
        <f aca="false">IFERROR(IF($F85&gt;0,MAX(0,INDEX('XERO ACTUALS'!$T$5:$T$132,MATCH($A85,'XERO ACTUALS'!$A$5:$A$132,0))-$F85),INDEX('XERO ACTUALS'!$T$5:$T$132,MATCH($A85,'XERO ACTUALS'!$A$5:$A$132,0)))*IF($E85="",1,$E85),"")</f>
        <v>731</v>
      </c>
      <c r="H85" s="40" t="n">
        <v>731</v>
      </c>
      <c r="I85" s="26" t="s">
        <v>254</v>
      </c>
      <c r="J85" s="32"/>
      <c r="K85" s="27" t="n">
        <v>0</v>
      </c>
      <c r="L85" s="26" t="n">
        <v>1</v>
      </c>
      <c r="M85" s="26" t="n">
        <v>12</v>
      </c>
      <c r="N85" s="47" t="s">
        <v>255</v>
      </c>
      <c r="O85" s="18" t="n">
        <f aca="false">IF($N85="N",0,IF($A85="",0,(IF($J85&lt;&gt;"",$J85,IF($I85="BUDGET",IF($H85="",0,$H85),IF($G85="",0,$G85))))*(1+IF($K85="",0,$K85))))</f>
        <v>731</v>
      </c>
      <c r="P85" s="17" t="n">
        <f aca="false">IF(AND(P$4&gt;=IF($L85="",1,$L85),P$4&lt;=IF($M85="",12,$M85)),$O85,0)</f>
        <v>731</v>
      </c>
      <c r="Q85" s="17" t="n">
        <f aca="false">IF(AND(Q$4&gt;=IF($L85="",1,$L85),Q$4&lt;=IF($M85="",12,$M85)),$O85,0)</f>
        <v>731</v>
      </c>
      <c r="R85" s="17" t="n">
        <f aca="false">IF(AND(R$4&gt;=IF($L85="",1,$L85),R$4&lt;=IF($M85="",12,$M85)),$O85,0)</f>
        <v>731</v>
      </c>
      <c r="S85" s="17" t="n">
        <f aca="false">IF(AND(S$4&gt;=IF($L85="",1,$L85),S$4&lt;=IF($M85="",12,$M85)),$O85,0)</f>
        <v>731</v>
      </c>
      <c r="T85" s="17" t="n">
        <f aca="false">IF(AND(T$4&gt;=IF($L85="",1,$L85),T$4&lt;=IF($M85="",12,$M85)),$O85,0)</f>
        <v>731</v>
      </c>
      <c r="U85" s="17" t="n">
        <f aca="false">IF(AND(U$4&gt;=IF($L85="",1,$L85),U$4&lt;=IF($M85="",12,$M85)),$O85,0)</f>
        <v>731</v>
      </c>
      <c r="V85" s="17" t="n">
        <f aca="false">IF(AND(V$4&gt;=IF($L85="",1,$L85),V$4&lt;=IF($M85="",12,$M85)),$O85,0)</f>
        <v>731</v>
      </c>
      <c r="W85" s="17" t="n">
        <f aca="false">IF(AND(W$4&gt;=IF($L85="",1,$L85),W$4&lt;=IF($M85="",12,$M85)),$O85,0)</f>
        <v>731</v>
      </c>
      <c r="X85" s="17" t="n">
        <f aca="false">IF(AND(X$4&gt;=IF($L85="",1,$L85),X$4&lt;=IF($M85="",12,$M85)),$O85,0)</f>
        <v>731</v>
      </c>
      <c r="Y85" s="17" t="n">
        <f aca="false">IF(AND(Y$4&gt;=IF($L85="",1,$L85),Y$4&lt;=IF($M85="",12,$M85)),$O85,0)</f>
        <v>731</v>
      </c>
      <c r="Z85" s="17" t="n">
        <f aca="false">IF(AND(Z$4&gt;=IF($L85="",1,$L85),Z$4&lt;=IF($M85="",12,$M85)),$O85,0)</f>
        <v>731</v>
      </c>
      <c r="AA85" s="17" t="n">
        <f aca="false">IF(AND(AA$4&gt;=IF($L85="",1,$L85),AA$4&lt;=IF($M85="",12,$M85)),$O85,0)</f>
        <v>731</v>
      </c>
      <c r="AB85" s="18" t="n">
        <f aca="false">SUM(P85:AA85)</f>
        <v>8772</v>
      </c>
    </row>
    <row r="86" customFormat="false" ht="15" hidden="false" customHeight="false" outlineLevel="0" collapsed="false">
      <c r="A86" s="42" t="s">
        <v>331</v>
      </c>
      <c r="B86" s="25" t="s">
        <v>67</v>
      </c>
      <c r="C86" s="43" t="s">
        <v>252</v>
      </c>
      <c r="D86" s="44" t="s">
        <v>253</v>
      </c>
      <c r="E86" s="45" t="n">
        <v>0.9487</v>
      </c>
      <c r="F86" s="40" t="n">
        <v>986.69</v>
      </c>
      <c r="G86" s="46" t="n">
        <f aca="false">IFERROR(IF($F86&gt;0,MAX(0,INDEX('XERO ACTUALS'!$T$5:$T$132,MATCH($A86,'XERO ACTUALS'!$A$5:$A$132,0))-$F86),INDEX('XERO ACTUALS'!$T$5:$T$132,MATCH($A86,'XERO ACTUALS'!$A$5:$A$132,0)))*IF($E86="",1,$E86),"")</f>
        <v>572.957878</v>
      </c>
      <c r="H86" s="40" t="n">
        <v>95.49</v>
      </c>
      <c r="I86" s="26" t="s">
        <v>254</v>
      </c>
      <c r="J86" s="32"/>
      <c r="K86" s="27" t="n">
        <v>0</v>
      </c>
      <c r="L86" s="26" t="n">
        <v>1</v>
      </c>
      <c r="M86" s="26" t="n">
        <v>12</v>
      </c>
      <c r="N86" s="47" t="s">
        <v>255</v>
      </c>
      <c r="O86" s="18" t="n">
        <f aca="false">IF($N86="N",0,IF($A86="",0,(IF($J86&lt;&gt;"",$J86,IF($I86="BUDGET",IF($H86="",0,$H86),IF($G86="",0,$G86))))*(1+IF($K86="",0,$K86))))</f>
        <v>572.957878</v>
      </c>
      <c r="P86" s="17" t="n">
        <f aca="false">IF(AND(P$4&gt;=IF($L86="",1,$L86),P$4&lt;=IF($M86="",12,$M86)),$O86,0)</f>
        <v>572.957878</v>
      </c>
      <c r="Q86" s="17" t="n">
        <f aca="false">IF(AND(Q$4&gt;=IF($L86="",1,$L86),Q$4&lt;=IF($M86="",12,$M86)),$O86,0)</f>
        <v>572.957878</v>
      </c>
      <c r="R86" s="17" t="n">
        <f aca="false">IF(AND(R$4&gt;=IF($L86="",1,$L86),R$4&lt;=IF($M86="",12,$M86)),$O86,0)</f>
        <v>572.957878</v>
      </c>
      <c r="S86" s="17" t="n">
        <f aca="false">IF(AND(S$4&gt;=IF($L86="",1,$L86),S$4&lt;=IF($M86="",12,$M86)),$O86,0)</f>
        <v>572.957878</v>
      </c>
      <c r="T86" s="17" t="n">
        <f aca="false">IF(AND(T$4&gt;=IF($L86="",1,$L86),T$4&lt;=IF($M86="",12,$M86)),$O86,0)</f>
        <v>572.957878</v>
      </c>
      <c r="U86" s="17" t="n">
        <f aca="false">IF(AND(U$4&gt;=IF($L86="",1,$L86),U$4&lt;=IF($M86="",12,$M86)),$O86,0)</f>
        <v>572.957878</v>
      </c>
      <c r="V86" s="17" t="n">
        <f aca="false">IF(AND(V$4&gt;=IF($L86="",1,$L86),V$4&lt;=IF($M86="",12,$M86)),$O86,0)</f>
        <v>572.957878</v>
      </c>
      <c r="W86" s="17" t="n">
        <f aca="false">IF(AND(W$4&gt;=IF($L86="",1,$L86),W$4&lt;=IF($M86="",12,$M86)),$O86,0)</f>
        <v>572.957878</v>
      </c>
      <c r="X86" s="17" t="n">
        <f aca="false">IF(AND(X$4&gt;=IF($L86="",1,$L86),X$4&lt;=IF($M86="",12,$M86)),$O86,0)</f>
        <v>572.957878</v>
      </c>
      <c r="Y86" s="17" t="n">
        <f aca="false">IF(AND(Y$4&gt;=IF($L86="",1,$L86),Y$4&lt;=IF($M86="",12,$M86)),$O86,0)</f>
        <v>572.957878</v>
      </c>
      <c r="Z86" s="17" t="n">
        <f aca="false">IF(AND(Z$4&gt;=IF($L86="",1,$L86),Z$4&lt;=IF($M86="",12,$M86)),$O86,0)</f>
        <v>572.957878</v>
      </c>
      <c r="AA86" s="17" t="n">
        <f aca="false">IF(AND(AA$4&gt;=IF($L86="",1,$L86),AA$4&lt;=IF($M86="",12,$M86)),$O86,0)</f>
        <v>572.957878</v>
      </c>
      <c r="AB86" s="18" t="n">
        <f aca="false">SUM(P86:AA86)</f>
        <v>6875.494536</v>
      </c>
    </row>
    <row r="87" customFormat="false" ht="15" hidden="false" customHeight="false" outlineLevel="0" collapsed="false">
      <c r="A87" s="42" t="s">
        <v>342</v>
      </c>
      <c r="B87" s="25" t="s">
        <v>67</v>
      </c>
      <c r="C87" s="43" t="s">
        <v>252</v>
      </c>
      <c r="D87" s="44" t="s">
        <v>253</v>
      </c>
      <c r="E87" s="45" t="n">
        <v>1</v>
      </c>
      <c r="F87" s="40"/>
      <c r="G87" s="46" t="n">
        <f aca="false">IFERROR(IF($F87&gt;0,MAX(0,INDEX('XERO ACTUALS'!$T$5:$T$132,MATCH($A87,'XERO ACTUALS'!$A$5:$A$132,0))-$F87),INDEX('XERO ACTUALS'!$T$5:$T$132,MATCH($A87,'XERO ACTUALS'!$A$5:$A$132,0)))*IF($E87="",1,$E87),"")</f>
        <v>485</v>
      </c>
      <c r="H87" s="40" t="n">
        <v>465</v>
      </c>
      <c r="I87" s="26" t="s">
        <v>254</v>
      </c>
      <c r="J87" s="32"/>
      <c r="K87" s="27" t="n">
        <v>0</v>
      </c>
      <c r="L87" s="26" t="n">
        <v>1</v>
      </c>
      <c r="M87" s="26" t="n">
        <v>12</v>
      </c>
      <c r="N87" s="47" t="s">
        <v>255</v>
      </c>
      <c r="O87" s="18" t="n">
        <f aca="false">IF($N87="N",0,IF($A87="",0,(IF($J87&lt;&gt;"",$J87,IF($I87="BUDGET",IF($H87="",0,$H87),IF($G87="",0,$G87))))*(1+IF($K87="",0,$K87))))</f>
        <v>485</v>
      </c>
      <c r="P87" s="17" t="n">
        <f aca="false">IF(AND(P$4&gt;=IF($L87="",1,$L87),P$4&lt;=IF($M87="",12,$M87)),$O87,0)</f>
        <v>485</v>
      </c>
      <c r="Q87" s="17" t="n">
        <f aca="false">IF(AND(Q$4&gt;=IF($L87="",1,$L87),Q$4&lt;=IF($M87="",12,$M87)),$O87,0)</f>
        <v>485</v>
      </c>
      <c r="R87" s="17" t="n">
        <f aca="false">IF(AND(R$4&gt;=IF($L87="",1,$L87),R$4&lt;=IF($M87="",12,$M87)),$O87,0)</f>
        <v>485</v>
      </c>
      <c r="S87" s="17" t="n">
        <f aca="false">IF(AND(S$4&gt;=IF($L87="",1,$L87),S$4&lt;=IF($M87="",12,$M87)),$O87,0)</f>
        <v>485</v>
      </c>
      <c r="T87" s="17" t="n">
        <f aca="false">IF(AND(T$4&gt;=IF($L87="",1,$L87),T$4&lt;=IF($M87="",12,$M87)),$O87,0)</f>
        <v>485</v>
      </c>
      <c r="U87" s="17" t="n">
        <f aca="false">IF(AND(U$4&gt;=IF($L87="",1,$L87),U$4&lt;=IF($M87="",12,$M87)),$O87,0)</f>
        <v>485</v>
      </c>
      <c r="V87" s="17" t="n">
        <f aca="false">IF(AND(V$4&gt;=IF($L87="",1,$L87),V$4&lt;=IF($M87="",12,$M87)),$O87,0)</f>
        <v>485</v>
      </c>
      <c r="W87" s="17" t="n">
        <f aca="false">IF(AND(W$4&gt;=IF($L87="",1,$L87),W$4&lt;=IF($M87="",12,$M87)),$O87,0)</f>
        <v>485</v>
      </c>
      <c r="X87" s="17" t="n">
        <f aca="false">IF(AND(X$4&gt;=IF($L87="",1,$L87),X$4&lt;=IF($M87="",12,$M87)),$O87,0)</f>
        <v>485</v>
      </c>
      <c r="Y87" s="17" t="n">
        <f aca="false">IF(AND(Y$4&gt;=IF($L87="",1,$L87),Y$4&lt;=IF($M87="",12,$M87)),$O87,0)</f>
        <v>485</v>
      </c>
      <c r="Z87" s="17" t="n">
        <f aca="false">IF(AND(Z$4&gt;=IF($L87="",1,$L87),Z$4&lt;=IF($M87="",12,$M87)),$O87,0)</f>
        <v>485</v>
      </c>
      <c r="AA87" s="17" t="n">
        <f aca="false">IF(AND(AA$4&gt;=IF($L87="",1,$L87),AA$4&lt;=IF($M87="",12,$M87)),$O87,0)</f>
        <v>485</v>
      </c>
      <c r="AB87" s="18" t="n">
        <f aca="false">SUM(P87:AA87)</f>
        <v>5820</v>
      </c>
    </row>
    <row r="88" customFormat="false" ht="15" hidden="false" customHeight="false" outlineLevel="0" collapsed="false">
      <c r="A88" s="42" t="s">
        <v>343</v>
      </c>
      <c r="B88" s="25" t="s">
        <v>67</v>
      </c>
      <c r="C88" s="43" t="s">
        <v>252</v>
      </c>
      <c r="D88" s="51" t="s">
        <v>291</v>
      </c>
      <c r="E88" s="45" t="n">
        <v>1</v>
      </c>
      <c r="F88" s="40"/>
      <c r="G88" s="46" t="n">
        <f aca="false">IFERROR(IF($F88&gt;0,MAX(0,INDEX('XERO ACTUALS'!$T$5:$T$132,MATCH($A88,'XERO ACTUALS'!$A$5:$A$132,0))-$F88),INDEX('XERO ACTUALS'!$T$5:$T$132,MATCH($A88,'XERO ACTUALS'!$A$5:$A$132,0)))*IF($E88="",1,$E88),"")</f>
        <v>459.738974131868</v>
      </c>
      <c r="H88" s="40" t="n">
        <v>860.67</v>
      </c>
      <c r="I88" s="26" t="s">
        <v>254</v>
      </c>
      <c r="J88" s="32"/>
      <c r="K88" s="27" t="n">
        <v>0</v>
      </c>
      <c r="L88" s="26" t="n">
        <v>1</v>
      </c>
      <c r="M88" s="26" t="n">
        <v>12</v>
      </c>
      <c r="N88" s="47" t="s">
        <v>255</v>
      </c>
      <c r="O88" s="18" t="n">
        <f aca="false">IF($N88="N",0,IF($A88="",0,(IF($J88&lt;&gt;"",$J88,IF($I88="BUDGET",IF($H88="",0,$H88),IF($G88="",0,$G88))))*(1+IF($K88="",0,$K88))))</f>
        <v>459.738974131868</v>
      </c>
      <c r="P88" s="17" t="n">
        <f aca="false">IF(AND(P$4&gt;=IF($L88="",1,$L88),P$4&lt;=IF($M88="",12,$M88)),$O88,0)</f>
        <v>459.738974131868</v>
      </c>
      <c r="Q88" s="17" t="n">
        <f aca="false">IF(AND(Q$4&gt;=IF($L88="",1,$L88),Q$4&lt;=IF($M88="",12,$M88)),$O88,0)</f>
        <v>459.738974131868</v>
      </c>
      <c r="R88" s="17" t="n">
        <f aca="false">IF(AND(R$4&gt;=IF($L88="",1,$L88),R$4&lt;=IF($M88="",12,$M88)),$O88,0)</f>
        <v>459.738974131868</v>
      </c>
      <c r="S88" s="17" t="n">
        <f aca="false">IF(AND(S$4&gt;=IF($L88="",1,$L88),S$4&lt;=IF($M88="",12,$M88)),$O88,0)</f>
        <v>459.738974131868</v>
      </c>
      <c r="T88" s="17" t="n">
        <f aca="false">IF(AND(T$4&gt;=IF($L88="",1,$L88),T$4&lt;=IF($M88="",12,$M88)),$O88,0)</f>
        <v>459.738974131868</v>
      </c>
      <c r="U88" s="17" t="n">
        <f aca="false">IF(AND(U$4&gt;=IF($L88="",1,$L88),U$4&lt;=IF($M88="",12,$M88)),$O88,0)</f>
        <v>459.738974131868</v>
      </c>
      <c r="V88" s="17" t="n">
        <f aca="false">IF(AND(V$4&gt;=IF($L88="",1,$L88),V$4&lt;=IF($M88="",12,$M88)),$O88,0)</f>
        <v>459.738974131868</v>
      </c>
      <c r="W88" s="17" t="n">
        <f aca="false">IF(AND(W$4&gt;=IF($L88="",1,$L88),W$4&lt;=IF($M88="",12,$M88)),$O88,0)</f>
        <v>459.738974131868</v>
      </c>
      <c r="X88" s="17" t="n">
        <f aca="false">IF(AND(X$4&gt;=IF($L88="",1,$L88),X$4&lt;=IF($M88="",12,$M88)),$O88,0)</f>
        <v>459.738974131868</v>
      </c>
      <c r="Y88" s="17" t="n">
        <f aca="false">IF(AND(Y$4&gt;=IF($L88="",1,$L88),Y$4&lt;=IF($M88="",12,$M88)),$O88,0)</f>
        <v>459.738974131868</v>
      </c>
      <c r="Z88" s="17" t="n">
        <f aca="false">IF(AND(Z$4&gt;=IF($L88="",1,$L88),Z$4&lt;=IF($M88="",12,$M88)),$O88,0)</f>
        <v>459.738974131868</v>
      </c>
      <c r="AA88" s="17" t="n">
        <f aca="false">IF(AND(AA$4&gt;=IF($L88="",1,$L88),AA$4&lt;=IF($M88="",12,$M88)),$O88,0)</f>
        <v>459.738974131868</v>
      </c>
      <c r="AB88" s="18" t="n">
        <f aca="false">SUM(P88:AA88)</f>
        <v>5516.86768958241</v>
      </c>
    </row>
    <row r="89" customFormat="false" ht="15" hidden="false" customHeight="false" outlineLevel="0" collapsed="false">
      <c r="A89" s="42" t="s">
        <v>344</v>
      </c>
      <c r="B89" s="25" t="s">
        <v>67</v>
      </c>
      <c r="C89" s="43" t="s">
        <v>252</v>
      </c>
      <c r="D89" s="44" t="s">
        <v>253</v>
      </c>
      <c r="E89" s="45" t="n">
        <v>1</v>
      </c>
      <c r="F89" s="40"/>
      <c r="G89" s="46" t="n">
        <f aca="false">IFERROR(IF($F89&gt;0,MAX(0,INDEX('XERO ACTUALS'!$T$5:$T$132,MATCH($A89,'XERO ACTUALS'!$A$5:$A$132,0))-$F89),INDEX('XERO ACTUALS'!$T$5:$T$132,MATCH($A89,'XERO ACTUALS'!$A$5:$A$132,0)))*IF($E89="",1,$E89),"")</f>
        <v>366.193333333333</v>
      </c>
      <c r="H89" s="40" t="n">
        <v>283</v>
      </c>
      <c r="I89" s="26" t="s">
        <v>254</v>
      </c>
      <c r="J89" s="32"/>
      <c r="K89" s="27" t="n">
        <v>0</v>
      </c>
      <c r="L89" s="26" t="n">
        <v>1</v>
      </c>
      <c r="M89" s="26" t="n">
        <v>12</v>
      </c>
      <c r="N89" s="47" t="s">
        <v>255</v>
      </c>
      <c r="O89" s="18" t="n">
        <f aca="false">IF($N89="N",0,IF($A89="",0,(IF($J89&lt;&gt;"",$J89,IF($I89="BUDGET",IF($H89="",0,$H89),IF($G89="",0,$G89))))*(1+IF($K89="",0,$K89))))</f>
        <v>366.193333333333</v>
      </c>
      <c r="P89" s="17" t="n">
        <f aca="false">IF(AND(P$4&gt;=IF($L89="",1,$L89),P$4&lt;=IF($M89="",12,$M89)),$O89,0)</f>
        <v>366.193333333333</v>
      </c>
      <c r="Q89" s="17" t="n">
        <f aca="false">IF(AND(Q$4&gt;=IF($L89="",1,$L89),Q$4&lt;=IF($M89="",12,$M89)),$O89,0)</f>
        <v>366.193333333333</v>
      </c>
      <c r="R89" s="17" t="n">
        <f aca="false">IF(AND(R$4&gt;=IF($L89="",1,$L89),R$4&lt;=IF($M89="",12,$M89)),$O89,0)</f>
        <v>366.193333333333</v>
      </c>
      <c r="S89" s="17" t="n">
        <f aca="false">IF(AND(S$4&gt;=IF($L89="",1,$L89),S$4&lt;=IF($M89="",12,$M89)),$O89,0)</f>
        <v>366.193333333333</v>
      </c>
      <c r="T89" s="17" t="n">
        <f aca="false">IF(AND(T$4&gt;=IF($L89="",1,$L89),T$4&lt;=IF($M89="",12,$M89)),$O89,0)</f>
        <v>366.193333333333</v>
      </c>
      <c r="U89" s="17" t="n">
        <f aca="false">IF(AND(U$4&gt;=IF($L89="",1,$L89),U$4&lt;=IF($M89="",12,$M89)),$O89,0)</f>
        <v>366.193333333333</v>
      </c>
      <c r="V89" s="17" t="n">
        <f aca="false">IF(AND(V$4&gt;=IF($L89="",1,$L89),V$4&lt;=IF($M89="",12,$M89)),$O89,0)</f>
        <v>366.193333333333</v>
      </c>
      <c r="W89" s="17" t="n">
        <f aca="false">IF(AND(W$4&gt;=IF($L89="",1,$L89),W$4&lt;=IF($M89="",12,$M89)),$O89,0)</f>
        <v>366.193333333333</v>
      </c>
      <c r="X89" s="17" t="n">
        <f aca="false">IF(AND(X$4&gt;=IF($L89="",1,$L89),X$4&lt;=IF($M89="",12,$M89)),$O89,0)</f>
        <v>366.193333333333</v>
      </c>
      <c r="Y89" s="17" t="n">
        <f aca="false">IF(AND(Y$4&gt;=IF($L89="",1,$L89),Y$4&lt;=IF($M89="",12,$M89)),$O89,0)</f>
        <v>366.193333333333</v>
      </c>
      <c r="Z89" s="17" t="n">
        <f aca="false">IF(AND(Z$4&gt;=IF($L89="",1,$L89),Z$4&lt;=IF($M89="",12,$M89)),$O89,0)</f>
        <v>366.193333333333</v>
      </c>
      <c r="AA89" s="17" t="n">
        <f aca="false">IF(AND(AA$4&gt;=IF($L89="",1,$L89),AA$4&lt;=IF($M89="",12,$M89)),$O89,0)</f>
        <v>366.193333333333</v>
      </c>
      <c r="AB89" s="18" t="n">
        <f aca="false">SUM(P89:AA89)</f>
        <v>4394.32</v>
      </c>
    </row>
    <row r="90" customFormat="false" ht="15" hidden="false" customHeight="false" outlineLevel="0" collapsed="false">
      <c r="A90" s="16" t="s">
        <v>345</v>
      </c>
      <c r="B90" s="25" t="s">
        <v>67</v>
      </c>
      <c r="C90" s="43" t="s">
        <v>264</v>
      </c>
      <c r="D90" s="44" t="s">
        <v>265</v>
      </c>
      <c r="E90" s="45"/>
      <c r="F90" s="40" t="n">
        <v>333.5</v>
      </c>
      <c r="G90" s="46"/>
      <c r="H90" s="40" t="n">
        <v>340.75</v>
      </c>
      <c r="I90" s="26" t="s">
        <v>266</v>
      </c>
      <c r="J90" s="32"/>
      <c r="K90" s="27" t="n">
        <v>0</v>
      </c>
      <c r="L90" s="26" t="n">
        <v>1</v>
      </c>
      <c r="M90" s="26" t="n">
        <v>12</v>
      </c>
      <c r="N90" s="47" t="s">
        <v>267</v>
      </c>
      <c r="O90" s="18" t="n">
        <f aca="false">IF($N90="N",0,IF($A90="",0,(IF($J90&lt;&gt;"",$J90,IF($I90="BUDGET",IF($H90="",0,$H90),IF($G90="",0,$G90))))*(1+IF($K90="",0,$K90))))</f>
        <v>0</v>
      </c>
      <c r="P90" s="17" t="n">
        <f aca="false">IF(AND(P$4&gt;=IF($L90="",1,$L90),P$4&lt;=IF($M90="",12,$M90)),$O90,0)</f>
        <v>0</v>
      </c>
      <c r="Q90" s="17" t="n">
        <f aca="false">IF(AND(Q$4&gt;=IF($L90="",1,$L90),Q$4&lt;=IF($M90="",12,$M90)),$O90,0)</f>
        <v>0</v>
      </c>
      <c r="R90" s="17" t="n">
        <f aca="false">IF(AND(R$4&gt;=IF($L90="",1,$L90),R$4&lt;=IF($M90="",12,$M90)),$O90,0)</f>
        <v>0</v>
      </c>
      <c r="S90" s="17" t="n">
        <f aca="false">IF(AND(S$4&gt;=IF($L90="",1,$L90),S$4&lt;=IF($M90="",12,$M90)),$O90,0)</f>
        <v>0</v>
      </c>
      <c r="T90" s="17" t="n">
        <f aca="false">IF(AND(T$4&gt;=IF($L90="",1,$L90),T$4&lt;=IF($M90="",12,$M90)),$O90,0)</f>
        <v>0</v>
      </c>
      <c r="U90" s="17" t="n">
        <f aca="false">IF(AND(U$4&gt;=IF($L90="",1,$L90),U$4&lt;=IF($M90="",12,$M90)),$O90,0)</f>
        <v>0</v>
      </c>
      <c r="V90" s="17" t="n">
        <f aca="false">IF(AND(V$4&gt;=IF($L90="",1,$L90),V$4&lt;=IF($M90="",12,$M90)),$O90,0)</f>
        <v>0</v>
      </c>
      <c r="W90" s="17" t="n">
        <f aca="false">IF(AND(W$4&gt;=IF($L90="",1,$L90),W$4&lt;=IF($M90="",12,$M90)),$O90,0)</f>
        <v>0</v>
      </c>
      <c r="X90" s="17" t="n">
        <f aca="false">IF(AND(X$4&gt;=IF($L90="",1,$L90),X$4&lt;=IF($M90="",12,$M90)),$O90,0)</f>
        <v>0</v>
      </c>
      <c r="Y90" s="17" t="n">
        <f aca="false">IF(AND(Y$4&gt;=IF($L90="",1,$L90),Y$4&lt;=IF($M90="",12,$M90)),$O90,0)</f>
        <v>0</v>
      </c>
      <c r="Z90" s="17" t="n">
        <f aca="false">IF(AND(Z$4&gt;=IF($L90="",1,$L90),Z$4&lt;=IF($M90="",12,$M90)),$O90,0)</f>
        <v>0</v>
      </c>
      <c r="AA90" s="17" t="n">
        <f aca="false">IF(AND(AA$4&gt;=IF($L90="",1,$L90),AA$4&lt;=IF($M90="",12,$M90)),$O90,0)</f>
        <v>0</v>
      </c>
      <c r="AB90" s="18" t="n">
        <f aca="false">SUM(P90:AA90)</f>
        <v>0</v>
      </c>
    </row>
    <row r="91" customFormat="false" ht="15" hidden="false" customHeight="false" outlineLevel="0" collapsed="false">
      <c r="A91" s="16" t="s">
        <v>346</v>
      </c>
      <c r="B91" s="25" t="s">
        <v>67</v>
      </c>
      <c r="C91" s="43" t="s">
        <v>264</v>
      </c>
      <c r="D91" s="44" t="s">
        <v>265</v>
      </c>
      <c r="E91" s="45"/>
      <c r="F91" s="40"/>
      <c r="G91" s="46"/>
      <c r="H91" s="40" t="n">
        <v>335</v>
      </c>
      <c r="I91" s="26" t="s">
        <v>266</v>
      </c>
      <c r="J91" s="32"/>
      <c r="K91" s="27" t="n">
        <v>0</v>
      </c>
      <c r="L91" s="26" t="n">
        <v>1</v>
      </c>
      <c r="M91" s="26" t="n">
        <v>12</v>
      </c>
      <c r="N91" s="47" t="s">
        <v>267</v>
      </c>
      <c r="O91" s="18" t="n">
        <f aca="false">IF($N91="N",0,IF($A91="",0,(IF($J91&lt;&gt;"",$J91,IF($I91="BUDGET",IF($H91="",0,$H91),IF($G91="",0,$G91))))*(1+IF($K91="",0,$K91))))</f>
        <v>0</v>
      </c>
      <c r="P91" s="17" t="n">
        <f aca="false">IF(AND(P$4&gt;=IF($L91="",1,$L91),P$4&lt;=IF($M91="",12,$M91)),$O91,0)</f>
        <v>0</v>
      </c>
      <c r="Q91" s="17" t="n">
        <f aca="false">IF(AND(Q$4&gt;=IF($L91="",1,$L91),Q$4&lt;=IF($M91="",12,$M91)),$O91,0)</f>
        <v>0</v>
      </c>
      <c r="R91" s="17" t="n">
        <f aca="false">IF(AND(R$4&gt;=IF($L91="",1,$L91),R$4&lt;=IF($M91="",12,$M91)),$O91,0)</f>
        <v>0</v>
      </c>
      <c r="S91" s="17" t="n">
        <f aca="false">IF(AND(S$4&gt;=IF($L91="",1,$L91),S$4&lt;=IF($M91="",12,$M91)),$O91,0)</f>
        <v>0</v>
      </c>
      <c r="T91" s="17" t="n">
        <f aca="false">IF(AND(T$4&gt;=IF($L91="",1,$L91),T$4&lt;=IF($M91="",12,$M91)),$O91,0)</f>
        <v>0</v>
      </c>
      <c r="U91" s="17" t="n">
        <f aca="false">IF(AND(U$4&gt;=IF($L91="",1,$L91),U$4&lt;=IF($M91="",12,$M91)),$O91,0)</f>
        <v>0</v>
      </c>
      <c r="V91" s="17" t="n">
        <f aca="false">IF(AND(V$4&gt;=IF($L91="",1,$L91),V$4&lt;=IF($M91="",12,$M91)),$O91,0)</f>
        <v>0</v>
      </c>
      <c r="W91" s="17" t="n">
        <f aca="false">IF(AND(W$4&gt;=IF($L91="",1,$L91),W$4&lt;=IF($M91="",12,$M91)),$O91,0)</f>
        <v>0</v>
      </c>
      <c r="X91" s="17" t="n">
        <f aca="false">IF(AND(X$4&gt;=IF($L91="",1,$L91),X$4&lt;=IF($M91="",12,$M91)),$O91,0)</f>
        <v>0</v>
      </c>
      <c r="Y91" s="17" t="n">
        <f aca="false">IF(AND(Y$4&gt;=IF($L91="",1,$L91),Y$4&lt;=IF($M91="",12,$M91)),$O91,0)</f>
        <v>0</v>
      </c>
      <c r="Z91" s="17" t="n">
        <f aca="false">IF(AND(Z$4&gt;=IF($L91="",1,$L91),Z$4&lt;=IF($M91="",12,$M91)),$O91,0)</f>
        <v>0</v>
      </c>
      <c r="AA91" s="17" t="n">
        <f aca="false">IF(AND(AA$4&gt;=IF($L91="",1,$L91),AA$4&lt;=IF($M91="",12,$M91)),$O91,0)</f>
        <v>0</v>
      </c>
      <c r="AB91" s="18" t="n">
        <f aca="false">SUM(P91:AA91)</f>
        <v>0</v>
      </c>
    </row>
    <row r="92" customFormat="false" ht="15" hidden="false" customHeight="false" outlineLevel="0" collapsed="false">
      <c r="A92" s="42" t="s">
        <v>347</v>
      </c>
      <c r="B92" s="25" t="s">
        <v>67</v>
      </c>
      <c r="C92" s="43" t="s">
        <v>252</v>
      </c>
      <c r="D92" s="44" t="s">
        <v>253</v>
      </c>
      <c r="E92" s="45" t="n">
        <v>1</v>
      </c>
      <c r="F92" s="40"/>
      <c r="G92" s="46" t="n">
        <f aca="false">IFERROR(IF($F92&gt;0,MAX(0,INDEX('XERO ACTUALS'!$T$5:$T$132,MATCH($A92,'XERO ACTUALS'!$A$5:$A$132,0))-$F92),INDEX('XERO ACTUALS'!$T$5:$T$132,MATCH($A92,'XERO ACTUALS'!$A$5:$A$132,0)))*IF($E92="",1,$E92),"")</f>
        <v>256.6</v>
      </c>
      <c r="H92" s="40" t="n">
        <v>261.3</v>
      </c>
      <c r="I92" s="26" t="s">
        <v>254</v>
      </c>
      <c r="J92" s="32"/>
      <c r="K92" s="27" t="n">
        <v>0</v>
      </c>
      <c r="L92" s="26" t="n">
        <v>1</v>
      </c>
      <c r="M92" s="26" t="n">
        <v>12</v>
      </c>
      <c r="N92" s="47" t="s">
        <v>255</v>
      </c>
      <c r="O92" s="18" t="n">
        <f aca="false">IF($N92="N",0,IF($A92="",0,(IF($J92&lt;&gt;"",$J92,IF($I92="BUDGET",IF($H92="",0,$H92),IF($G92="",0,$G92))))*(1+IF($K92="",0,$K92))))</f>
        <v>256.6</v>
      </c>
      <c r="P92" s="17" t="n">
        <f aca="false">IF(AND(P$4&gt;=IF($L92="",1,$L92),P$4&lt;=IF($M92="",12,$M92)),$O92,0)</f>
        <v>256.6</v>
      </c>
      <c r="Q92" s="17" t="n">
        <f aca="false">IF(AND(Q$4&gt;=IF($L92="",1,$L92),Q$4&lt;=IF($M92="",12,$M92)),$O92,0)</f>
        <v>256.6</v>
      </c>
      <c r="R92" s="17" t="n">
        <f aca="false">IF(AND(R$4&gt;=IF($L92="",1,$L92),R$4&lt;=IF($M92="",12,$M92)),$O92,0)</f>
        <v>256.6</v>
      </c>
      <c r="S92" s="17" t="n">
        <f aca="false">IF(AND(S$4&gt;=IF($L92="",1,$L92),S$4&lt;=IF($M92="",12,$M92)),$O92,0)</f>
        <v>256.6</v>
      </c>
      <c r="T92" s="17" t="n">
        <f aca="false">IF(AND(T$4&gt;=IF($L92="",1,$L92),T$4&lt;=IF($M92="",12,$M92)),$O92,0)</f>
        <v>256.6</v>
      </c>
      <c r="U92" s="17" t="n">
        <f aca="false">IF(AND(U$4&gt;=IF($L92="",1,$L92),U$4&lt;=IF($M92="",12,$M92)),$O92,0)</f>
        <v>256.6</v>
      </c>
      <c r="V92" s="17" t="n">
        <f aca="false">IF(AND(V$4&gt;=IF($L92="",1,$L92),V$4&lt;=IF($M92="",12,$M92)),$O92,0)</f>
        <v>256.6</v>
      </c>
      <c r="W92" s="17" t="n">
        <f aca="false">IF(AND(W$4&gt;=IF($L92="",1,$L92),W$4&lt;=IF($M92="",12,$M92)),$O92,0)</f>
        <v>256.6</v>
      </c>
      <c r="X92" s="17" t="n">
        <f aca="false">IF(AND(X$4&gt;=IF($L92="",1,$L92),X$4&lt;=IF($M92="",12,$M92)),$O92,0)</f>
        <v>256.6</v>
      </c>
      <c r="Y92" s="17" t="n">
        <f aca="false">IF(AND(Y$4&gt;=IF($L92="",1,$L92),Y$4&lt;=IF($M92="",12,$M92)),$O92,0)</f>
        <v>256.6</v>
      </c>
      <c r="Z92" s="17" t="n">
        <f aca="false">IF(AND(Z$4&gt;=IF($L92="",1,$L92),Z$4&lt;=IF($M92="",12,$M92)),$O92,0)</f>
        <v>256.6</v>
      </c>
      <c r="AA92" s="17" t="n">
        <f aca="false">IF(AND(AA$4&gt;=IF($L92="",1,$L92),AA$4&lt;=IF($M92="",12,$M92)),$O92,0)</f>
        <v>256.6</v>
      </c>
      <c r="AB92" s="18" t="n">
        <f aca="false">SUM(P92:AA92)</f>
        <v>3079.2</v>
      </c>
    </row>
    <row r="93" customFormat="false" ht="15" hidden="false" customHeight="false" outlineLevel="0" collapsed="false">
      <c r="A93" s="42" t="s">
        <v>348</v>
      </c>
      <c r="B93" s="25" t="s">
        <v>67</v>
      </c>
      <c r="C93" s="43" t="s">
        <v>252</v>
      </c>
      <c r="D93" s="50" t="s">
        <v>285</v>
      </c>
      <c r="E93" s="45" t="n">
        <v>1</v>
      </c>
      <c r="F93" s="40"/>
      <c r="G93" s="46" t="n">
        <f aca="false">IFERROR(IF($F93&gt;0,MAX(0,INDEX('XERO ACTUALS'!$T$5:$T$132,MATCH($A93,'XERO ACTUALS'!$A$5:$A$132,0))-$F93),INDEX('XERO ACTUALS'!$T$5:$T$132,MATCH($A93,'XERO ACTUALS'!$A$5:$A$132,0)))*IF($E93="",1,$E93),"")</f>
        <v>246.009065569073</v>
      </c>
      <c r="H93" s="40" t="n">
        <v>83.73</v>
      </c>
      <c r="I93" s="26" t="s">
        <v>254</v>
      </c>
      <c r="J93" s="32"/>
      <c r="K93" s="27" t="n">
        <v>0</v>
      </c>
      <c r="L93" s="26" t="n">
        <v>1</v>
      </c>
      <c r="M93" s="26" t="n">
        <v>12</v>
      </c>
      <c r="N93" s="47" t="s">
        <v>267</v>
      </c>
      <c r="O93" s="18" t="n">
        <f aca="false">IF($N93="N",0,IF($A93="",0,(IF($J93&lt;&gt;"",$J93,IF($I93="BUDGET",IF($H93="",0,$H93),IF($G93="",0,$G93))))*(1+IF($K93="",0,$K93))))</f>
        <v>0</v>
      </c>
      <c r="P93" s="17" t="n">
        <f aca="false">IF(AND(P$4&gt;=IF($L93="",1,$L93),P$4&lt;=IF($M93="",12,$M93)),$O93,0)</f>
        <v>0</v>
      </c>
      <c r="Q93" s="17" t="n">
        <f aca="false">IF(AND(Q$4&gt;=IF($L93="",1,$L93),Q$4&lt;=IF($M93="",12,$M93)),$O93,0)</f>
        <v>0</v>
      </c>
      <c r="R93" s="17" t="n">
        <f aca="false">IF(AND(R$4&gt;=IF($L93="",1,$L93),R$4&lt;=IF($M93="",12,$M93)),$O93,0)</f>
        <v>0</v>
      </c>
      <c r="S93" s="17" t="n">
        <f aca="false">IF(AND(S$4&gt;=IF($L93="",1,$L93),S$4&lt;=IF($M93="",12,$M93)),$O93,0)</f>
        <v>0</v>
      </c>
      <c r="T93" s="17" t="n">
        <f aca="false">IF(AND(T$4&gt;=IF($L93="",1,$L93),T$4&lt;=IF($M93="",12,$M93)),$O93,0)</f>
        <v>0</v>
      </c>
      <c r="U93" s="17" t="n">
        <f aca="false">IF(AND(U$4&gt;=IF($L93="",1,$L93),U$4&lt;=IF($M93="",12,$M93)),$O93,0)</f>
        <v>0</v>
      </c>
      <c r="V93" s="17" t="n">
        <f aca="false">IF(AND(V$4&gt;=IF($L93="",1,$L93),V$4&lt;=IF($M93="",12,$M93)),$O93,0)</f>
        <v>0</v>
      </c>
      <c r="W93" s="17" t="n">
        <f aca="false">IF(AND(W$4&gt;=IF($L93="",1,$L93),W$4&lt;=IF($M93="",12,$M93)),$O93,0)</f>
        <v>0</v>
      </c>
      <c r="X93" s="17" t="n">
        <f aca="false">IF(AND(X$4&gt;=IF($L93="",1,$L93),X$4&lt;=IF($M93="",12,$M93)),$O93,0)</f>
        <v>0</v>
      </c>
      <c r="Y93" s="17" t="n">
        <f aca="false">IF(AND(Y$4&gt;=IF($L93="",1,$L93),Y$4&lt;=IF($M93="",12,$M93)),$O93,0)</f>
        <v>0</v>
      </c>
      <c r="Z93" s="17" t="n">
        <f aca="false">IF(AND(Z$4&gt;=IF($L93="",1,$L93),Z$4&lt;=IF($M93="",12,$M93)),$O93,0)</f>
        <v>0</v>
      </c>
      <c r="AA93" s="17" t="n">
        <f aca="false">IF(AND(AA$4&gt;=IF($L93="",1,$L93),AA$4&lt;=IF($M93="",12,$M93)),$O93,0)</f>
        <v>0</v>
      </c>
      <c r="AB93" s="18" t="n">
        <f aca="false">SUM(P93:AA93)</f>
        <v>0</v>
      </c>
    </row>
    <row r="94" customFormat="false" ht="15" hidden="false" customHeight="false" outlineLevel="0" collapsed="false">
      <c r="A94" s="42" t="s">
        <v>258</v>
      </c>
      <c r="B94" s="25" t="s">
        <v>67</v>
      </c>
      <c r="C94" s="43" t="s">
        <v>252</v>
      </c>
      <c r="D94" s="44" t="s">
        <v>253</v>
      </c>
      <c r="E94" s="45" t="n">
        <v>0.3474</v>
      </c>
      <c r="F94" s="40" t="n">
        <v>517.68</v>
      </c>
      <c r="G94" s="46" t="n">
        <f aca="false">IFERROR(IF($F94&gt;0,MAX(0,INDEX('XERO ACTUALS'!$T$5:$T$132,MATCH($A94,'XERO ACTUALS'!$A$5:$A$132,0))-$F94),INDEX('XERO ACTUALS'!$T$5:$T$132,MATCH($A94,'XERO ACTUALS'!$A$5:$A$132,0)))*IF($E94="",1,$E94),"")</f>
        <v>225.141834</v>
      </c>
      <c r="H94" s="40" t="n">
        <v>195.54</v>
      </c>
      <c r="I94" s="26" t="s">
        <v>254</v>
      </c>
      <c r="J94" s="32"/>
      <c r="K94" s="27" t="n">
        <v>0</v>
      </c>
      <c r="L94" s="26" t="n">
        <v>1</v>
      </c>
      <c r="M94" s="26" t="n">
        <v>12</v>
      </c>
      <c r="N94" s="47" t="s">
        <v>255</v>
      </c>
      <c r="O94" s="18" t="n">
        <f aca="false">IF($N94="N",0,IF($A94="",0,(IF($J94&lt;&gt;"",$J94,IF($I94="BUDGET",IF($H94="",0,$H94),IF($G94="",0,$G94))))*(1+IF($K94="",0,$K94))))</f>
        <v>225.141834</v>
      </c>
      <c r="P94" s="17" t="n">
        <f aca="false">IF(AND(P$4&gt;=IF($L94="",1,$L94),P$4&lt;=IF($M94="",12,$M94)),$O94,0)</f>
        <v>225.141834</v>
      </c>
      <c r="Q94" s="17" t="n">
        <f aca="false">IF(AND(Q$4&gt;=IF($L94="",1,$L94),Q$4&lt;=IF($M94="",12,$M94)),$O94,0)</f>
        <v>225.141834</v>
      </c>
      <c r="R94" s="17" t="n">
        <f aca="false">IF(AND(R$4&gt;=IF($L94="",1,$L94),R$4&lt;=IF($M94="",12,$M94)),$O94,0)</f>
        <v>225.141834</v>
      </c>
      <c r="S94" s="17" t="n">
        <f aca="false">IF(AND(S$4&gt;=IF($L94="",1,$L94),S$4&lt;=IF($M94="",12,$M94)),$O94,0)</f>
        <v>225.141834</v>
      </c>
      <c r="T94" s="17" t="n">
        <f aca="false">IF(AND(T$4&gt;=IF($L94="",1,$L94),T$4&lt;=IF($M94="",12,$M94)),$O94,0)</f>
        <v>225.141834</v>
      </c>
      <c r="U94" s="17" t="n">
        <f aca="false">IF(AND(U$4&gt;=IF($L94="",1,$L94),U$4&lt;=IF($M94="",12,$M94)),$O94,0)</f>
        <v>225.141834</v>
      </c>
      <c r="V94" s="17" t="n">
        <f aca="false">IF(AND(V$4&gt;=IF($L94="",1,$L94),V$4&lt;=IF($M94="",12,$M94)),$O94,0)</f>
        <v>225.141834</v>
      </c>
      <c r="W94" s="17" t="n">
        <f aca="false">IF(AND(W$4&gt;=IF($L94="",1,$L94),W$4&lt;=IF($M94="",12,$M94)),$O94,0)</f>
        <v>225.141834</v>
      </c>
      <c r="X94" s="17" t="n">
        <f aca="false">IF(AND(X$4&gt;=IF($L94="",1,$L94),X$4&lt;=IF($M94="",12,$M94)),$O94,0)</f>
        <v>225.141834</v>
      </c>
      <c r="Y94" s="17" t="n">
        <f aca="false">IF(AND(Y$4&gt;=IF($L94="",1,$L94),Y$4&lt;=IF($M94="",12,$M94)),$O94,0)</f>
        <v>225.141834</v>
      </c>
      <c r="Z94" s="17" t="n">
        <f aca="false">IF(AND(Z$4&gt;=IF($L94="",1,$L94),Z$4&lt;=IF($M94="",12,$M94)),$O94,0)</f>
        <v>225.141834</v>
      </c>
      <c r="AA94" s="17" t="n">
        <f aca="false">IF(AND(AA$4&gt;=IF($L94="",1,$L94),AA$4&lt;=IF($M94="",12,$M94)),$O94,0)</f>
        <v>225.141834</v>
      </c>
      <c r="AB94" s="18" t="n">
        <f aca="false">SUM(P94:AA94)</f>
        <v>2701.702008</v>
      </c>
    </row>
    <row r="95" customFormat="false" ht="15" hidden="false" customHeight="false" outlineLevel="0" collapsed="false">
      <c r="A95" s="42" t="s">
        <v>349</v>
      </c>
      <c r="B95" s="25" t="s">
        <v>67</v>
      </c>
      <c r="C95" s="43" t="s">
        <v>252</v>
      </c>
      <c r="D95" s="48" t="s">
        <v>261</v>
      </c>
      <c r="E95" s="45" t="n">
        <v>1</v>
      </c>
      <c r="F95" s="40"/>
      <c r="G95" s="46" t="n">
        <f aca="false">IFERROR(IF($F95&gt;0,MAX(0,INDEX('XERO ACTUALS'!$T$5:$T$132,MATCH($A95,'XERO ACTUALS'!$A$5:$A$132,0))-$F95),INDEX('XERO ACTUALS'!$T$5:$T$132,MATCH($A95,'XERO ACTUALS'!$A$5:$A$132,0)))*IF($E95="",1,$E95),"")</f>
        <v>195</v>
      </c>
      <c r="H95" s="40" t="n">
        <v>32.5</v>
      </c>
      <c r="I95" s="26" t="s">
        <v>254</v>
      </c>
      <c r="J95" s="32"/>
      <c r="K95" s="27" t="n">
        <v>0</v>
      </c>
      <c r="L95" s="26" t="n">
        <v>1</v>
      </c>
      <c r="M95" s="26" t="n">
        <v>12</v>
      </c>
      <c r="N95" s="47" t="s">
        <v>255</v>
      </c>
      <c r="O95" s="18" t="n">
        <f aca="false">IF($N95="N",0,IF($A95="",0,(IF($J95&lt;&gt;"",$J95,IF($I95="BUDGET",IF($H95="",0,$H95),IF($G95="",0,$G95))))*(1+IF($K95="",0,$K95))))</f>
        <v>195</v>
      </c>
      <c r="P95" s="17" t="n">
        <f aca="false">IF(AND(P$4&gt;=IF($L95="",1,$L95),P$4&lt;=IF($M95="",12,$M95)),$O95,0)</f>
        <v>195</v>
      </c>
      <c r="Q95" s="17" t="n">
        <f aca="false">IF(AND(Q$4&gt;=IF($L95="",1,$L95),Q$4&lt;=IF($M95="",12,$M95)),$O95,0)</f>
        <v>195</v>
      </c>
      <c r="R95" s="17" t="n">
        <f aca="false">IF(AND(R$4&gt;=IF($L95="",1,$L95),R$4&lt;=IF($M95="",12,$M95)),$O95,0)</f>
        <v>195</v>
      </c>
      <c r="S95" s="17" t="n">
        <f aca="false">IF(AND(S$4&gt;=IF($L95="",1,$L95),S$4&lt;=IF($M95="",12,$M95)),$O95,0)</f>
        <v>195</v>
      </c>
      <c r="T95" s="17" t="n">
        <f aca="false">IF(AND(T$4&gt;=IF($L95="",1,$L95),T$4&lt;=IF($M95="",12,$M95)),$O95,0)</f>
        <v>195</v>
      </c>
      <c r="U95" s="17" t="n">
        <f aca="false">IF(AND(U$4&gt;=IF($L95="",1,$L95),U$4&lt;=IF($M95="",12,$M95)),$O95,0)</f>
        <v>195</v>
      </c>
      <c r="V95" s="17" t="n">
        <f aca="false">IF(AND(V$4&gt;=IF($L95="",1,$L95),V$4&lt;=IF($M95="",12,$M95)),$O95,0)</f>
        <v>195</v>
      </c>
      <c r="W95" s="17" t="n">
        <f aca="false">IF(AND(W$4&gt;=IF($L95="",1,$L95),W$4&lt;=IF($M95="",12,$M95)),$O95,0)</f>
        <v>195</v>
      </c>
      <c r="X95" s="17" t="n">
        <f aca="false">IF(AND(X$4&gt;=IF($L95="",1,$L95),X$4&lt;=IF($M95="",12,$M95)),$O95,0)</f>
        <v>195</v>
      </c>
      <c r="Y95" s="17" t="n">
        <f aca="false">IF(AND(Y$4&gt;=IF($L95="",1,$L95),Y$4&lt;=IF($M95="",12,$M95)),$O95,0)</f>
        <v>195</v>
      </c>
      <c r="Z95" s="17" t="n">
        <f aca="false">IF(AND(Z$4&gt;=IF($L95="",1,$L95),Z$4&lt;=IF($M95="",12,$M95)),$O95,0)</f>
        <v>195</v>
      </c>
      <c r="AA95" s="17" t="n">
        <f aca="false">IF(AND(AA$4&gt;=IF($L95="",1,$L95),AA$4&lt;=IF($M95="",12,$M95)),$O95,0)</f>
        <v>195</v>
      </c>
      <c r="AB95" s="18" t="n">
        <f aca="false">SUM(P95:AA95)</f>
        <v>2340</v>
      </c>
    </row>
    <row r="96" customFormat="false" ht="15" hidden="false" customHeight="false" outlineLevel="0" collapsed="false">
      <c r="A96" s="16" t="s">
        <v>350</v>
      </c>
      <c r="B96" s="25" t="s">
        <v>67</v>
      </c>
      <c r="C96" s="43" t="s">
        <v>264</v>
      </c>
      <c r="D96" s="44" t="s">
        <v>265</v>
      </c>
      <c r="E96" s="45"/>
      <c r="F96" s="40"/>
      <c r="G96" s="46"/>
      <c r="H96" s="40" t="n">
        <v>194.3</v>
      </c>
      <c r="I96" s="26" t="s">
        <v>266</v>
      </c>
      <c r="J96" s="32"/>
      <c r="K96" s="27" t="n">
        <v>0</v>
      </c>
      <c r="L96" s="26" t="n">
        <v>1</v>
      </c>
      <c r="M96" s="26" t="n">
        <v>12</v>
      </c>
      <c r="N96" s="47" t="s">
        <v>267</v>
      </c>
      <c r="O96" s="18" t="n">
        <f aca="false">IF($N96="N",0,IF($A96="",0,(IF($J96&lt;&gt;"",$J96,IF($I96="BUDGET",IF($H96="",0,$H96),IF($G96="",0,$G96))))*(1+IF($K96="",0,$K96))))</f>
        <v>0</v>
      </c>
      <c r="P96" s="17" t="n">
        <f aca="false">IF(AND(P$4&gt;=IF($L96="",1,$L96),P$4&lt;=IF($M96="",12,$M96)),$O96,0)</f>
        <v>0</v>
      </c>
      <c r="Q96" s="17" t="n">
        <f aca="false">IF(AND(Q$4&gt;=IF($L96="",1,$L96),Q$4&lt;=IF($M96="",12,$M96)),$O96,0)</f>
        <v>0</v>
      </c>
      <c r="R96" s="17" t="n">
        <f aca="false">IF(AND(R$4&gt;=IF($L96="",1,$L96),R$4&lt;=IF($M96="",12,$M96)),$O96,0)</f>
        <v>0</v>
      </c>
      <c r="S96" s="17" t="n">
        <f aca="false">IF(AND(S$4&gt;=IF($L96="",1,$L96),S$4&lt;=IF($M96="",12,$M96)),$O96,0)</f>
        <v>0</v>
      </c>
      <c r="T96" s="17" t="n">
        <f aca="false">IF(AND(T$4&gt;=IF($L96="",1,$L96),T$4&lt;=IF($M96="",12,$M96)),$O96,0)</f>
        <v>0</v>
      </c>
      <c r="U96" s="17" t="n">
        <f aca="false">IF(AND(U$4&gt;=IF($L96="",1,$L96),U$4&lt;=IF($M96="",12,$M96)),$O96,0)</f>
        <v>0</v>
      </c>
      <c r="V96" s="17" t="n">
        <f aca="false">IF(AND(V$4&gt;=IF($L96="",1,$L96),V$4&lt;=IF($M96="",12,$M96)),$O96,0)</f>
        <v>0</v>
      </c>
      <c r="W96" s="17" t="n">
        <f aca="false">IF(AND(W$4&gt;=IF($L96="",1,$L96),W$4&lt;=IF($M96="",12,$M96)),$O96,0)</f>
        <v>0</v>
      </c>
      <c r="X96" s="17" t="n">
        <f aca="false">IF(AND(X$4&gt;=IF($L96="",1,$L96),X$4&lt;=IF($M96="",12,$M96)),$O96,0)</f>
        <v>0</v>
      </c>
      <c r="Y96" s="17" t="n">
        <f aca="false">IF(AND(Y$4&gt;=IF($L96="",1,$L96),Y$4&lt;=IF($M96="",12,$M96)),$O96,0)</f>
        <v>0</v>
      </c>
      <c r="Z96" s="17" t="n">
        <f aca="false">IF(AND(Z$4&gt;=IF($L96="",1,$L96),Z$4&lt;=IF($M96="",12,$M96)),$O96,0)</f>
        <v>0</v>
      </c>
      <c r="AA96" s="17" t="n">
        <f aca="false">IF(AND(AA$4&gt;=IF($L96="",1,$L96),AA$4&lt;=IF($M96="",12,$M96)),$O96,0)</f>
        <v>0</v>
      </c>
      <c r="AB96" s="18" t="n">
        <f aca="false">SUM(P96:AA96)</f>
        <v>0</v>
      </c>
    </row>
    <row r="97" customFormat="false" ht="15" hidden="false" customHeight="false" outlineLevel="0" collapsed="false">
      <c r="A97" s="42" t="s">
        <v>351</v>
      </c>
      <c r="B97" s="25" t="s">
        <v>67</v>
      </c>
      <c r="C97" s="43" t="s">
        <v>252</v>
      </c>
      <c r="D97" s="48" t="s">
        <v>261</v>
      </c>
      <c r="E97" s="45" t="n">
        <v>1</v>
      </c>
      <c r="F97" s="40"/>
      <c r="G97" s="46" t="n">
        <f aca="false">IFERROR(IF($F97&gt;0,MAX(0,INDEX('XERO ACTUALS'!$T$5:$T$132,MATCH($A97,'XERO ACTUALS'!$A$5:$A$132,0))-$F97),INDEX('XERO ACTUALS'!$T$5:$T$132,MATCH($A97,'XERO ACTUALS'!$A$5:$A$132,0)))*IF($E97="",1,$E97),"")</f>
        <v>176</v>
      </c>
      <c r="H97" s="40" t="n">
        <v>40</v>
      </c>
      <c r="I97" s="26" t="s">
        <v>254</v>
      </c>
      <c r="J97" s="32"/>
      <c r="K97" s="27" t="n">
        <v>0</v>
      </c>
      <c r="L97" s="26" t="n">
        <v>1</v>
      </c>
      <c r="M97" s="26" t="n">
        <v>12</v>
      </c>
      <c r="N97" s="47" t="s">
        <v>255</v>
      </c>
      <c r="O97" s="18" t="n">
        <f aca="false">IF($N97="N",0,IF($A97="",0,(IF($J97&lt;&gt;"",$J97,IF($I97="BUDGET",IF($H97="",0,$H97),IF($G97="",0,$G97))))*(1+IF($K97="",0,$K97))))</f>
        <v>176</v>
      </c>
      <c r="P97" s="17" t="n">
        <f aca="false">IF(AND(P$4&gt;=IF($L97="",1,$L97),P$4&lt;=IF($M97="",12,$M97)),$O97,0)</f>
        <v>176</v>
      </c>
      <c r="Q97" s="17" t="n">
        <f aca="false">IF(AND(Q$4&gt;=IF($L97="",1,$L97),Q$4&lt;=IF($M97="",12,$M97)),$O97,0)</f>
        <v>176</v>
      </c>
      <c r="R97" s="17" t="n">
        <f aca="false">IF(AND(R$4&gt;=IF($L97="",1,$L97),R$4&lt;=IF($M97="",12,$M97)),$O97,0)</f>
        <v>176</v>
      </c>
      <c r="S97" s="17" t="n">
        <f aca="false">IF(AND(S$4&gt;=IF($L97="",1,$L97),S$4&lt;=IF($M97="",12,$M97)),$O97,0)</f>
        <v>176</v>
      </c>
      <c r="T97" s="17" t="n">
        <f aca="false">IF(AND(T$4&gt;=IF($L97="",1,$L97),T$4&lt;=IF($M97="",12,$M97)),$O97,0)</f>
        <v>176</v>
      </c>
      <c r="U97" s="17" t="n">
        <f aca="false">IF(AND(U$4&gt;=IF($L97="",1,$L97),U$4&lt;=IF($M97="",12,$M97)),$O97,0)</f>
        <v>176</v>
      </c>
      <c r="V97" s="17" t="n">
        <f aca="false">IF(AND(V$4&gt;=IF($L97="",1,$L97),V$4&lt;=IF($M97="",12,$M97)),$O97,0)</f>
        <v>176</v>
      </c>
      <c r="W97" s="17" t="n">
        <f aca="false">IF(AND(W$4&gt;=IF($L97="",1,$L97),W$4&lt;=IF($M97="",12,$M97)),$O97,0)</f>
        <v>176</v>
      </c>
      <c r="X97" s="17" t="n">
        <f aca="false">IF(AND(X$4&gt;=IF($L97="",1,$L97),X$4&lt;=IF($M97="",12,$M97)),$O97,0)</f>
        <v>176</v>
      </c>
      <c r="Y97" s="17" t="n">
        <f aca="false">IF(AND(Y$4&gt;=IF($L97="",1,$L97),Y$4&lt;=IF($M97="",12,$M97)),$O97,0)</f>
        <v>176</v>
      </c>
      <c r="Z97" s="17" t="n">
        <f aca="false">IF(AND(Z$4&gt;=IF($L97="",1,$L97),Z$4&lt;=IF($M97="",12,$M97)),$O97,0)</f>
        <v>176</v>
      </c>
      <c r="AA97" s="17" t="n">
        <f aca="false">IF(AND(AA$4&gt;=IF($L97="",1,$L97),AA$4&lt;=IF($M97="",12,$M97)),$O97,0)</f>
        <v>176</v>
      </c>
      <c r="AB97" s="18" t="n">
        <f aca="false">SUM(P97:AA97)</f>
        <v>2112</v>
      </c>
    </row>
    <row r="98" customFormat="false" ht="15" hidden="false" customHeight="false" outlineLevel="0" collapsed="false">
      <c r="A98" s="42" t="s">
        <v>352</v>
      </c>
      <c r="B98" s="25" t="s">
        <v>67</v>
      </c>
      <c r="C98" s="43" t="s">
        <v>252</v>
      </c>
      <c r="D98" s="51" t="s">
        <v>291</v>
      </c>
      <c r="E98" s="45" t="n">
        <v>1</v>
      </c>
      <c r="F98" s="40"/>
      <c r="G98" s="46" t="n">
        <f aca="false">IFERROR(IF($F98&gt;0,MAX(0,INDEX('XERO ACTUALS'!$T$5:$T$132,MATCH($A98,'XERO ACTUALS'!$A$5:$A$132,0))-$F98),INDEX('XERO ACTUALS'!$T$5:$T$132,MATCH($A98,'XERO ACTUALS'!$A$5:$A$132,0)))*IF($E98="",1,$E98),"")</f>
        <v>143.452210383724</v>
      </c>
      <c r="H98" s="40" t="n">
        <v>184.77</v>
      </c>
      <c r="I98" s="26" t="s">
        <v>254</v>
      </c>
      <c r="J98" s="32"/>
      <c r="K98" s="27" t="n">
        <v>0</v>
      </c>
      <c r="L98" s="26" t="n">
        <v>1</v>
      </c>
      <c r="M98" s="26" t="n">
        <v>12</v>
      </c>
      <c r="N98" s="47" t="s">
        <v>255</v>
      </c>
      <c r="O98" s="18" t="n">
        <f aca="false">IF($N98="N",0,IF($A98="",0,(IF($J98&lt;&gt;"",$J98,IF($I98="BUDGET",IF($H98="",0,$H98),IF($G98="",0,$G98))))*(1+IF($K98="",0,$K98))))</f>
        <v>143.452210383724</v>
      </c>
      <c r="P98" s="17" t="n">
        <f aca="false">IF(AND(P$4&gt;=IF($L98="",1,$L98),P$4&lt;=IF($M98="",12,$M98)),$O98,0)</f>
        <v>143.452210383724</v>
      </c>
      <c r="Q98" s="17" t="n">
        <f aca="false">IF(AND(Q$4&gt;=IF($L98="",1,$L98),Q$4&lt;=IF($M98="",12,$M98)),$O98,0)</f>
        <v>143.452210383724</v>
      </c>
      <c r="R98" s="17" t="n">
        <f aca="false">IF(AND(R$4&gt;=IF($L98="",1,$L98),R$4&lt;=IF($M98="",12,$M98)),$O98,0)</f>
        <v>143.452210383724</v>
      </c>
      <c r="S98" s="17" t="n">
        <f aca="false">IF(AND(S$4&gt;=IF($L98="",1,$L98),S$4&lt;=IF($M98="",12,$M98)),$O98,0)</f>
        <v>143.452210383724</v>
      </c>
      <c r="T98" s="17" t="n">
        <f aca="false">IF(AND(T$4&gt;=IF($L98="",1,$L98),T$4&lt;=IF($M98="",12,$M98)),$O98,0)</f>
        <v>143.452210383724</v>
      </c>
      <c r="U98" s="17" t="n">
        <f aca="false">IF(AND(U$4&gt;=IF($L98="",1,$L98),U$4&lt;=IF($M98="",12,$M98)),$O98,0)</f>
        <v>143.452210383724</v>
      </c>
      <c r="V98" s="17" t="n">
        <f aca="false">IF(AND(V$4&gt;=IF($L98="",1,$L98),V$4&lt;=IF($M98="",12,$M98)),$O98,0)</f>
        <v>143.452210383724</v>
      </c>
      <c r="W98" s="17" t="n">
        <f aca="false">IF(AND(W$4&gt;=IF($L98="",1,$L98),W$4&lt;=IF($M98="",12,$M98)),$O98,0)</f>
        <v>143.452210383724</v>
      </c>
      <c r="X98" s="17" t="n">
        <f aca="false">IF(AND(X$4&gt;=IF($L98="",1,$L98),X$4&lt;=IF($M98="",12,$M98)),$O98,0)</f>
        <v>143.452210383724</v>
      </c>
      <c r="Y98" s="17" t="n">
        <f aca="false">IF(AND(Y$4&gt;=IF($L98="",1,$L98),Y$4&lt;=IF($M98="",12,$M98)),$O98,0)</f>
        <v>143.452210383724</v>
      </c>
      <c r="Z98" s="17" t="n">
        <f aca="false">IF(AND(Z$4&gt;=IF($L98="",1,$L98),Z$4&lt;=IF($M98="",12,$M98)),$O98,0)</f>
        <v>143.452210383724</v>
      </c>
      <c r="AA98" s="17" t="n">
        <f aca="false">IF(AND(AA$4&gt;=IF($L98="",1,$L98),AA$4&lt;=IF($M98="",12,$M98)),$O98,0)</f>
        <v>143.452210383724</v>
      </c>
      <c r="AB98" s="18" t="n">
        <f aca="false">SUM(P98:AA98)</f>
        <v>1721.42652460468</v>
      </c>
    </row>
    <row r="99" customFormat="false" ht="15" hidden="false" customHeight="false" outlineLevel="0" collapsed="false">
      <c r="A99" s="42" t="s">
        <v>353</v>
      </c>
      <c r="B99" s="25" t="s">
        <v>67</v>
      </c>
      <c r="C99" s="43" t="s">
        <v>252</v>
      </c>
      <c r="D99" s="44" t="s">
        <v>253</v>
      </c>
      <c r="E99" s="45" t="n">
        <v>1</v>
      </c>
      <c r="F99" s="40"/>
      <c r="G99" s="46" t="n">
        <f aca="false">IFERROR(IF($F99&gt;0,MAX(0,INDEX('XERO ACTUALS'!$T$5:$T$132,MATCH($A99,'XERO ACTUALS'!$A$5:$A$132,0))-$F99),INDEX('XERO ACTUALS'!$T$5:$T$132,MATCH($A99,'XERO ACTUALS'!$A$5:$A$132,0)))*IF($E99="",1,$E99),"")</f>
        <v>109.25</v>
      </c>
      <c r="H99" s="40" t="n">
        <v>95</v>
      </c>
      <c r="I99" s="26" t="s">
        <v>254</v>
      </c>
      <c r="J99" s="32"/>
      <c r="K99" s="27" t="n">
        <v>0</v>
      </c>
      <c r="L99" s="26" t="n">
        <v>1</v>
      </c>
      <c r="M99" s="26" t="n">
        <v>12</v>
      </c>
      <c r="N99" s="47" t="s">
        <v>255</v>
      </c>
      <c r="O99" s="18" t="n">
        <f aca="false">IF($N99="N",0,IF($A99="",0,(IF($J99&lt;&gt;"",$J99,IF($I99="BUDGET",IF($H99="",0,$H99),IF($G99="",0,$G99))))*(1+IF($K99="",0,$K99))))</f>
        <v>109.25</v>
      </c>
      <c r="P99" s="17" t="n">
        <f aca="false">IF(AND(P$4&gt;=IF($L99="",1,$L99),P$4&lt;=IF($M99="",12,$M99)),$O99,0)</f>
        <v>109.25</v>
      </c>
      <c r="Q99" s="17" t="n">
        <f aca="false">IF(AND(Q$4&gt;=IF($L99="",1,$L99),Q$4&lt;=IF($M99="",12,$M99)),$O99,0)</f>
        <v>109.25</v>
      </c>
      <c r="R99" s="17" t="n">
        <f aca="false">IF(AND(R$4&gt;=IF($L99="",1,$L99),R$4&lt;=IF($M99="",12,$M99)),$O99,0)</f>
        <v>109.25</v>
      </c>
      <c r="S99" s="17" t="n">
        <f aca="false">IF(AND(S$4&gt;=IF($L99="",1,$L99),S$4&lt;=IF($M99="",12,$M99)),$O99,0)</f>
        <v>109.25</v>
      </c>
      <c r="T99" s="17" t="n">
        <f aca="false">IF(AND(T$4&gt;=IF($L99="",1,$L99),T$4&lt;=IF($M99="",12,$M99)),$O99,0)</f>
        <v>109.25</v>
      </c>
      <c r="U99" s="17" t="n">
        <f aca="false">IF(AND(U$4&gt;=IF($L99="",1,$L99),U$4&lt;=IF($M99="",12,$M99)),$O99,0)</f>
        <v>109.25</v>
      </c>
      <c r="V99" s="17" t="n">
        <f aca="false">IF(AND(V$4&gt;=IF($L99="",1,$L99),V$4&lt;=IF($M99="",12,$M99)),$O99,0)</f>
        <v>109.25</v>
      </c>
      <c r="W99" s="17" t="n">
        <f aca="false">IF(AND(W$4&gt;=IF($L99="",1,$L99),W$4&lt;=IF($M99="",12,$M99)),$O99,0)</f>
        <v>109.25</v>
      </c>
      <c r="X99" s="17" t="n">
        <f aca="false">IF(AND(X$4&gt;=IF($L99="",1,$L99),X$4&lt;=IF($M99="",12,$M99)),$O99,0)</f>
        <v>109.25</v>
      </c>
      <c r="Y99" s="17" t="n">
        <f aca="false">IF(AND(Y$4&gt;=IF($L99="",1,$L99),Y$4&lt;=IF($M99="",12,$M99)),$O99,0)</f>
        <v>109.25</v>
      </c>
      <c r="Z99" s="17" t="n">
        <f aca="false">IF(AND(Z$4&gt;=IF($L99="",1,$L99),Z$4&lt;=IF($M99="",12,$M99)),$O99,0)</f>
        <v>109.25</v>
      </c>
      <c r="AA99" s="17" t="n">
        <f aca="false">IF(AND(AA$4&gt;=IF($L99="",1,$L99),AA$4&lt;=IF($M99="",12,$M99)),$O99,0)</f>
        <v>109.25</v>
      </c>
      <c r="AB99" s="18" t="n">
        <f aca="false">SUM(P99:AA99)</f>
        <v>1311</v>
      </c>
    </row>
    <row r="100" customFormat="false" ht="15" hidden="false" customHeight="false" outlineLevel="0" collapsed="false">
      <c r="A100" s="16" t="s">
        <v>354</v>
      </c>
      <c r="B100" s="25" t="s">
        <v>67</v>
      </c>
      <c r="C100" s="43" t="s">
        <v>264</v>
      </c>
      <c r="D100" s="44" t="s">
        <v>265</v>
      </c>
      <c r="E100" s="45"/>
      <c r="F100" s="40"/>
      <c r="G100" s="46"/>
      <c r="H100" s="40" t="n">
        <v>-83.33</v>
      </c>
      <c r="I100" s="26" t="s">
        <v>266</v>
      </c>
      <c r="J100" s="32"/>
      <c r="K100" s="27" t="n">
        <v>0</v>
      </c>
      <c r="L100" s="26" t="n">
        <v>1</v>
      </c>
      <c r="M100" s="26" t="n">
        <v>12</v>
      </c>
      <c r="N100" s="47" t="s">
        <v>267</v>
      </c>
      <c r="O100" s="18" t="n">
        <f aca="false">IF($N100="N",0,IF($A100="",0,(IF($J100&lt;&gt;"",$J100,IF($I100="BUDGET",IF($H100="",0,$H100),IF($G100="",0,$G100))))*(1+IF($K100="",0,$K100))))</f>
        <v>0</v>
      </c>
      <c r="P100" s="17" t="n">
        <f aca="false">IF(AND(P$4&gt;=IF($L100="",1,$L100),P$4&lt;=IF($M100="",12,$M100)),$O100,0)</f>
        <v>0</v>
      </c>
      <c r="Q100" s="17" t="n">
        <f aca="false">IF(AND(Q$4&gt;=IF($L100="",1,$L100),Q$4&lt;=IF($M100="",12,$M100)),$O100,0)</f>
        <v>0</v>
      </c>
      <c r="R100" s="17" t="n">
        <f aca="false">IF(AND(R$4&gt;=IF($L100="",1,$L100),R$4&lt;=IF($M100="",12,$M100)),$O100,0)</f>
        <v>0</v>
      </c>
      <c r="S100" s="17" t="n">
        <f aca="false">IF(AND(S$4&gt;=IF($L100="",1,$L100),S$4&lt;=IF($M100="",12,$M100)),$O100,0)</f>
        <v>0</v>
      </c>
      <c r="T100" s="17" t="n">
        <f aca="false">IF(AND(T$4&gt;=IF($L100="",1,$L100),T$4&lt;=IF($M100="",12,$M100)),$O100,0)</f>
        <v>0</v>
      </c>
      <c r="U100" s="17" t="n">
        <f aca="false">IF(AND(U$4&gt;=IF($L100="",1,$L100),U$4&lt;=IF($M100="",12,$M100)),$O100,0)</f>
        <v>0</v>
      </c>
      <c r="V100" s="17" t="n">
        <f aca="false">IF(AND(V$4&gt;=IF($L100="",1,$L100),V$4&lt;=IF($M100="",12,$M100)),$O100,0)</f>
        <v>0</v>
      </c>
      <c r="W100" s="17" t="n">
        <f aca="false">IF(AND(W$4&gt;=IF($L100="",1,$L100),W$4&lt;=IF($M100="",12,$M100)),$O100,0)</f>
        <v>0</v>
      </c>
      <c r="X100" s="17" t="n">
        <f aca="false">IF(AND(X$4&gt;=IF($L100="",1,$L100),X$4&lt;=IF($M100="",12,$M100)),$O100,0)</f>
        <v>0</v>
      </c>
      <c r="Y100" s="17" t="n">
        <f aca="false">IF(AND(Y$4&gt;=IF($L100="",1,$L100),Y$4&lt;=IF($M100="",12,$M100)),$O100,0)</f>
        <v>0</v>
      </c>
      <c r="Z100" s="17" t="n">
        <f aca="false">IF(AND(Z$4&gt;=IF($L100="",1,$L100),Z$4&lt;=IF($M100="",12,$M100)),$O100,0)</f>
        <v>0</v>
      </c>
      <c r="AA100" s="17" t="n">
        <f aca="false">IF(AND(AA$4&gt;=IF($L100="",1,$L100),AA$4&lt;=IF($M100="",12,$M100)),$O100,0)</f>
        <v>0</v>
      </c>
      <c r="AB100" s="18" t="n">
        <f aca="false">SUM(P100:AA100)</f>
        <v>0</v>
      </c>
    </row>
    <row r="101" customFormat="false" ht="15" hidden="false" customHeight="false" outlineLevel="0" collapsed="false">
      <c r="A101" s="42" t="s">
        <v>355</v>
      </c>
      <c r="B101" s="25" t="s">
        <v>67</v>
      </c>
      <c r="C101" s="43" t="s">
        <v>252</v>
      </c>
      <c r="D101" s="44" t="s">
        <v>253</v>
      </c>
      <c r="E101" s="45" t="n">
        <v>1</v>
      </c>
      <c r="F101" s="40"/>
      <c r="G101" s="46" t="n">
        <f aca="false">IFERROR(IF($F101&gt;0,MAX(0,INDEX('XERO ACTUALS'!$T$5:$T$132,MATCH($A101,'XERO ACTUALS'!$A$5:$A$132,0))-$F101),INDEX('XERO ACTUALS'!$T$5:$T$132,MATCH($A101,'XERO ACTUALS'!$A$5:$A$132,0)))*IF($E101="",1,$E101),"")</f>
        <v>69</v>
      </c>
      <c r="H101" s="40" t="n">
        <v>69</v>
      </c>
      <c r="I101" s="26" t="s">
        <v>254</v>
      </c>
      <c r="J101" s="32"/>
      <c r="K101" s="27" t="n">
        <v>0</v>
      </c>
      <c r="L101" s="26" t="n">
        <v>1</v>
      </c>
      <c r="M101" s="26" t="n">
        <v>12</v>
      </c>
      <c r="N101" s="47" t="s">
        <v>255</v>
      </c>
      <c r="O101" s="18" t="n">
        <f aca="false">IF($N101="N",0,IF($A101="",0,(IF($J101&lt;&gt;"",$J101,IF($I101="BUDGET",IF($H101="",0,$H101),IF($G101="",0,$G101))))*(1+IF($K101="",0,$K101))))</f>
        <v>69</v>
      </c>
      <c r="P101" s="17" t="n">
        <f aca="false">IF(AND(P$4&gt;=IF($L101="",1,$L101),P$4&lt;=IF($M101="",12,$M101)),$O101,0)</f>
        <v>69</v>
      </c>
      <c r="Q101" s="17" t="n">
        <f aca="false">IF(AND(Q$4&gt;=IF($L101="",1,$L101),Q$4&lt;=IF($M101="",12,$M101)),$O101,0)</f>
        <v>69</v>
      </c>
      <c r="R101" s="17" t="n">
        <f aca="false">IF(AND(R$4&gt;=IF($L101="",1,$L101),R$4&lt;=IF($M101="",12,$M101)),$O101,0)</f>
        <v>69</v>
      </c>
      <c r="S101" s="17" t="n">
        <f aca="false">IF(AND(S$4&gt;=IF($L101="",1,$L101),S$4&lt;=IF($M101="",12,$M101)),$O101,0)</f>
        <v>69</v>
      </c>
      <c r="T101" s="17" t="n">
        <f aca="false">IF(AND(T$4&gt;=IF($L101="",1,$L101),T$4&lt;=IF($M101="",12,$M101)),$O101,0)</f>
        <v>69</v>
      </c>
      <c r="U101" s="17" t="n">
        <f aca="false">IF(AND(U$4&gt;=IF($L101="",1,$L101),U$4&lt;=IF($M101="",12,$M101)),$O101,0)</f>
        <v>69</v>
      </c>
      <c r="V101" s="17" t="n">
        <f aca="false">IF(AND(V$4&gt;=IF($L101="",1,$L101),V$4&lt;=IF($M101="",12,$M101)),$O101,0)</f>
        <v>69</v>
      </c>
      <c r="W101" s="17" t="n">
        <f aca="false">IF(AND(W$4&gt;=IF($L101="",1,$L101),W$4&lt;=IF($M101="",12,$M101)),$O101,0)</f>
        <v>69</v>
      </c>
      <c r="X101" s="17" t="n">
        <f aca="false">IF(AND(X$4&gt;=IF($L101="",1,$L101),X$4&lt;=IF($M101="",12,$M101)),$O101,0)</f>
        <v>69</v>
      </c>
      <c r="Y101" s="17" t="n">
        <f aca="false">IF(AND(Y$4&gt;=IF($L101="",1,$L101),Y$4&lt;=IF($M101="",12,$M101)),$O101,0)</f>
        <v>69</v>
      </c>
      <c r="Z101" s="17" t="n">
        <f aca="false">IF(AND(Z$4&gt;=IF($L101="",1,$L101),Z$4&lt;=IF($M101="",12,$M101)),$O101,0)</f>
        <v>69</v>
      </c>
      <c r="AA101" s="17" t="n">
        <f aca="false">IF(AND(AA$4&gt;=IF($L101="",1,$L101),AA$4&lt;=IF($M101="",12,$M101)),$O101,0)</f>
        <v>69</v>
      </c>
      <c r="AB101" s="18" t="n">
        <f aca="false">SUM(P101:AA101)</f>
        <v>828</v>
      </c>
    </row>
    <row r="102" customFormat="false" ht="15" hidden="false" customHeight="false" outlineLevel="0" collapsed="false">
      <c r="A102" s="42" t="s">
        <v>356</v>
      </c>
      <c r="B102" s="25" t="s">
        <v>67</v>
      </c>
      <c r="C102" s="43" t="s">
        <v>252</v>
      </c>
      <c r="D102" s="44" t="s">
        <v>253</v>
      </c>
      <c r="E102" s="45" t="n">
        <v>1</v>
      </c>
      <c r="F102" s="40"/>
      <c r="G102" s="46" t="n">
        <f aca="false">IFERROR(IF($F102&gt;0,MAX(0,INDEX('XERO ACTUALS'!$T$5:$T$132,MATCH($A102,'XERO ACTUALS'!$A$5:$A$132,0))-$F102),INDEX('XERO ACTUALS'!$T$5:$T$132,MATCH($A102,'XERO ACTUALS'!$A$5:$A$132,0)))*IF($E102="",1,$E102),"")</f>
        <v>60</v>
      </c>
      <c r="H102" s="40" t="n">
        <v>0</v>
      </c>
      <c r="I102" s="26" t="s">
        <v>254</v>
      </c>
      <c r="J102" s="32"/>
      <c r="K102" s="27" t="n">
        <v>0</v>
      </c>
      <c r="L102" s="26" t="n">
        <v>1</v>
      </c>
      <c r="M102" s="26" t="n">
        <v>12</v>
      </c>
      <c r="N102" s="47" t="s">
        <v>255</v>
      </c>
      <c r="O102" s="18" t="n">
        <f aca="false">IF($N102="N",0,IF($A102="",0,(IF($J102&lt;&gt;"",$J102,IF($I102="BUDGET",IF($H102="",0,$H102),IF($G102="",0,$G102))))*(1+IF($K102="",0,$K102))))</f>
        <v>60</v>
      </c>
      <c r="P102" s="17" t="n">
        <f aca="false">IF(AND(P$4&gt;=IF($L102="",1,$L102),P$4&lt;=IF($M102="",12,$M102)),$O102,0)</f>
        <v>60</v>
      </c>
      <c r="Q102" s="17" t="n">
        <f aca="false">IF(AND(Q$4&gt;=IF($L102="",1,$L102),Q$4&lt;=IF($M102="",12,$M102)),$O102,0)</f>
        <v>60</v>
      </c>
      <c r="R102" s="17" t="n">
        <f aca="false">IF(AND(R$4&gt;=IF($L102="",1,$L102),R$4&lt;=IF($M102="",12,$M102)),$O102,0)</f>
        <v>60</v>
      </c>
      <c r="S102" s="17" t="n">
        <f aca="false">IF(AND(S$4&gt;=IF($L102="",1,$L102),S$4&lt;=IF($M102="",12,$M102)),$O102,0)</f>
        <v>60</v>
      </c>
      <c r="T102" s="17" t="n">
        <f aca="false">IF(AND(T$4&gt;=IF($L102="",1,$L102),T$4&lt;=IF($M102="",12,$M102)),$O102,0)</f>
        <v>60</v>
      </c>
      <c r="U102" s="17" t="n">
        <f aca="false">IF(AND(U$4&gt;=IF($L102="",1,$L102),U$4&lt;=IF($M102="",12,$M102)),$O102,0)</f>
        <v>60</v>
      </c>
      <c r="V102" s="17" t="n">
        <f aca="false">IF(AND(V$4&gt;=IF($L102="",1,$L102),V$4&lt;=IF($M102="",12,$M102)),$O102,0)</f>
        <v>60</v>
      </c>
      <c r="W102" s="17" t="n">
        <f aca="false">IF(AND(W$4&gt;=IF($L102="",1,$L102),W$4&lt;=IF($M102="",12,$M102)),$O102,0)</f>
        <v>60</v>
      </c>
      <c r="X102" s="17" t="n">
        <f aca="false">IF(AND(X$4&gt;=IF($L102="",1,$L102),X$4&lt;=IF($M102="",12,$M102)),$O102,0)</f>
        <v>60</v>
      </c>
      <c r="Y102" s="17" t="n">
        <f aca="false">IF(AND(Y$4&gt;=IF($L102="",1,$L102),Y$4&lt;=IF($M102="",12,$M102)),$O102,0)</f>
        <v>60</v>
      </c>
      <c r="Z102" s="17" t="n">
        <f aca="false">IF(AND(Z$4&gt;=IF($L102="",1,$L102),Z$4&lt;=IF($M102="",12,$M102)),$O102,0)</f>
        <v>60</v>
      </c>
      <c r="AA102" s="17" t="n">
        <f aca="false">IF(AND(AA$4&gt;=IF($L102="",1,$L102),AA$4&lt;=IF($M102="",12,$M102)),$O102,0)</f>
        <v>60</v>
      </c>
      <c r="AB102" s="18" t="n">
        <f aca="false">SUM(P102:AA102)</f>
        <v>720</v>
      </c>
    </row>
    <row r="103" customFormat="false" ht="15" hidden="false" customHeight="false" outlineLevel="0" collapsed="false">
      <c r="A103" s="42" t="s">
        <v>357</v>
      </c>
      <c r="B103" s="25" t="s">
        <v>67</v>
      </c>
      <c r="C103" s="43" t="s">
        <v>252</v>
      </c>
      <c r="D103" s="51" t="s">
        <v>291</v>
      </c>
      <c r="E103" s="45" t="n">
        <v>1</v>
      </c>
      <c r="F103" s="40"/>
      <c r="G103" s="46" t="n">
        <f aca="false">IFERROR(IF($F103&gt;0,MAX(0,INDEX('XERO ACTUALS'!$T$5:$T$132,MATCH($A103,'XERO ACTUALS'!$A$5:$A$132,0))-$F103),INDEX('XERO ACTUALS'!$T$5:$T$132,MATCH($A103,'XERO ACTUALS'!$A$5:$A$132,0)))*IF($E103="",1,$E103),"")</f>
        <v>26.0504858415609</v>
      </c>
      <c r="H103" s="40" t="n">
        <v>33.33</v>
      </c>
      <c r="I103" s="26" t="s">
        <v>254</v>
      </c>
      <c r="J103" s="32"/>
      <c r="K103" s="27" t="n">
        <v>0</v>
      </c>
      <c r="L103" s="26" t="n">
        <v>1</v>
      </c>
      <c r="M103" s="26" t="n">
        <v>12</v>
      </c>
      <c r="N103" s="47" t="s">
        <v>255</v>
      </c>
      <c r="O103" s="18" t="n">
        <f aca="false">IF($N103="N",0,IF($A103="",0,(IF($J103&lt;&gt;"",$J103,IF($I103="BUDGET",IF($H103="",0,$H103),IF($G103="",0,$G103))))*(1+IF($K103="",0,$K103))))</f>
        <v>26.0504858415609</v>
      </c>
      <c r="P103" s="17" t="n">
        <f aca="false">IF(AND(P$4&gt;=IF($L103="",1,$L103),P$4&lt;=IF($M103="",12,$M103)),$O103,0)</f>
        <v>26.0504858415609</v>
      </c>
      <c r="Q103" s="17" t="n">
        <f aca="false">IF(AND(Q$4&gt;=IF($L103="",1,$L103),Q$4&lt;=IF($M103="",12,$M103)),$O103,0)</f>
        <v>26.0504858415609</v>
      </c>
      <c r="R103" s="17" t="n">
        <f aca="false">IF(AND(R$4&gt;=IF($L103="",1,$L103),R$4&lt;=IF($M103="",12,$M103)),$O103,0)</f>
        <v>26.0504858415609</v>
      </c>
      <c r="S103" s="17" t="n">
        <f aca="false">IF(AND(S$4&gt;=IF($L103="",1,$L103),S$4&lt;=IF($M103="",12,$M103)),$O103,0)</f>
        <v>26.0504858415609</v>
      </c>
      <c r="T103" s="17" t="n">
        <f aca="false">IF(AND(T$4&gt;=IF($L103="",1,$L103),T$4&lt;=IF($M103="",12,$M103)),$O103,0)</f>
        <v>26.0504858415609</v>
      </c>
      <c r="U103" s="17" t="n">
        <f aca="false">IF(AND(U$4&gt;=IF($L103="",1,$L103),U$4&lt;=IF($M103="",12,$M103)),$O103,0)</f>
        <v>26.0504858415609</v>
      </c>
      <c r="V103" s="17" t="n">
        <f aca="false">IF(AND(V$4&gt;=IF($L103="",1,$L103),V$4&lt;=IF($M103="",12,$M103)),$O103,0)</f>
        <v>26.0504858415609</v>
      </c>
      <c r="W103" s="17" t="n">
        <f aca="false">IF(AND(W$4&gt;=IF($L103="",1,$L103),W$4&lt;=IF($M103="",12,$M103)),$O103,0)</f>
        <v>26.0504858415609</v>
      </c>
      <c r="X103" s="17" t="n">
        <f aca="false">IF(AND(X$4&gt;=IF($L103="",1,$L103),X$4&lt;=IF($M103="",12,$M103)),$O103,0)</f>
        <v>26.0504858415609</v>
      </c>
      <c r="Y103" s="17" t="n">
        <f aca="false">IF(AND(Y$4&gt;=IF($L103="",1,$L103),Y$4&lt;=IF($M103="",12,$M103)),$O103,0)</f>
        <v>26.0504858415609</v>
      </c>
      <c r="Z103" s="17" t="n">
        <f aca="false">IF(AND(Z$4&gt;=IF($L103="",1,$L103),Z$4&lt;=IF($M103="",12,$M103)),$O103,0)</f>
        <v>26.0504858415609</v>
      </c>
      <c r="AA103" s="17" t="n">
        <f aca="false">IF(AND(AA$4&gt;=IF($L103="",1,$L103),AA$4&lt;=IF($M103="",12,$M103)),$O103,0)</f>
        <v>26.0504858415609</v>
      </c>
      <c r="AB103" s="18" t="n">
        <f aca="false">SUM(P103:AA103)</f>
        <v>312.605830098731</v>
      </c>
    </row>
    <row r="104" customFormat="false" ht="15" hidden="false" customHeight="false" outlineLevel="0" collapsed="false">
      <c r="A104" s="16" t="s">
        <v>358</v>
      </c>
      <c r="B104" s="25" t="s">
        <v>67</v>
      </c>
      <c r="C104" s="43" t="s">
        <v>264</v>
      </c>
      <c r="D104" s="44" t="s">
        <v>265</v>
      </c>
      <c r="E104" s="45"/>
      <c r="F104" s="40"/>
      <c r="G104" s="46"/>
      <c r="H104" s="40" t="n">
        <v>22</v>
      </c>
      <c r="I104" s="26" t="s">
        <v>266</v>
      </c>
      <c r="J104" s="32"/>
      <c r="K104" s="27" t="n">
        <v>0</v>
      </c>
      <c r="L104" s="26" t="n">
        <v>1</v>
      </c>
      <c r="M104" s="26" t="n">
        <v>12</v>
      </c>
      <c r="N104" s="47" t="s">
        <v>267</v>
      </c>
      <c r="O104" s="18" t="n">
        <f aca="false">IF($N104="N",0,IF($A104="",0,(IF($J104&lt;&gt;"",$J104,IF($I104="BUDGET",IF($H104="",0,$H104),IF($G104="",0,$G104))))*(1+IF($K104="",0,$K104))))</f>
        <v>0</v>
      </c>
      <c r="P104" s="17" t="n">
        <f aca="false">IF(AND(P$4&gt;=IF($L104="",1,$L104),P$4&lt;=IF($M104="",12,$M104)),$O104,0)</f>
        <v>0</v>
      </c>
      <c r="Q104" s="17" t="n">
        <f aca="false">IF(AND(Q$4&gt;=IF($L104="",1,$L104),Q$4&lt;=IF($M104="",12,$M104)),$O104,0)</f>
        <v>0</v>
      </c>
      <c r="R104" s="17" t="n">
        <f aca="false">IF(AND(R$4&gt;=IF($L104="",1,$L104),R$4&lt;=IF($M104="",12,$M104)),$O104,0)</f>
        <v>0</v>
      </c>
      <c r="S104" s="17" t="n">
        <f aca="false">IF(AND(S$4&gt;=IF($L104="",1,$L104),S$4&lt;=IF($M104="",12,$M104)),$O104,0)</f>
        <v>0</v>
      </c>
      <c r="T104" s="17" t="n">
        <f aca="false">IF(AND(T$4&gt;=IF($L104="",1,$L104),T$4&lt;=IF($M104="",12,$M104)),$O104,0)</f>
        <v>0</v>
      </c>
      <c r="U104" s="17" t="n">
        <f aca="false">IF(AND(U$4&gt;=IF($L104="",1,$L104),U$4&lt;=IF($M104="",12,$M104)),$O104,0)</f>
        <v>0</v>
      </c>
      <c r="V104" s="17" t="n">
        <f aca="false">IF(AND(V$4&gt;=IF($L104="",1,$L104),V$4&lt;=IF($M104="",12,$M104)),$O104,0)</f>
        <v>0</v>
      </c>
      <c r="W104" s="17" t="n">
        <f aca="false">IF(AND(W$4&gt;=IF($L104="",1,$L104),W$4&lt;=IF($M104="",12,$M104)),$O104,0)</f>
        <v>0</v>
      </c>
      <c r="X104" s="17" t="n">
        <f aca="false">IF(AND(X$4&gt;=IF($L104="",1,$L104),X$4&lt;=IF($M104="",12,$M104)),$O104,0)</f>
        <v>0</v>
      </c>
      <c r="Y104" s="17" t="n">
        <f aca="false">IF(AND(Y$4&gt;=IF($L104="",1,$L104),Y$4&lt;=IF($M104="",12,$M104)),$O104,0)</f>
        <v>0</v>
      </c>
      <c r="Z104" s="17" t="n">
        <f aca="false">IF(AND(Z$4&gt;=IF($L104="",1,$L104),Z$4&lt;=IF($M104="",12,$M104)),$O104,0)</f>
        <v>0</v>
      </c>
      <c r="AA104" s="17" t="n">
        <f aca="false">IF(AND(AA$4&gt;=IF($L104="",1,$L104),AA$4&lt;=IF($M104="",12,$M104)),$O104,0)</f>
        <v>0</v>
      </c>
      <c r="AB104" s="18" t="n">
        <f aca="false">SUM(P104:AA104)</f>
        <v>0</v>
      </c>
    </row>
    <row r="105" customFormat="false" ht="15" hidden="false" customHeight="false" outlineLevel="0" collapsed="false">
      <c r="A105" s="16" t="s">
        <v>359</v>
      </c>
      <c r="B105" s="25" t="s">
        <v>67</v>
      </c>
      <c r="C105" s="43" t="s">
        <v>264</v>
      </c>
      <c r="D105" s="44" t="s">
        <v>265</v>
      </c>
      <c r="E105" s="45"/>
      <c r="F105" s="40"/>
      <c r="G105" s="46"/>
      <c r="H105" s="40" t="n">
        <v>15</v>
      </c>
      <c r="I105" s="26" t="s">
        <v>266</v>
      </c>
      <c r="J105" s="32"/>
      <c r="K105" s="27" t="n">
        <v>0</v>
      </c>
      <c r="L105" s="26" t="n">
        <v>1</v>
      </c>
      <c r="M105" s="26" t="n">
        <v>12</v>
      </c>
      <c r="N105" s="47" t="s">
        <v>267</v>
      </c>
      <c r="O105" s="18" t="n">
        <f aca="false">IF($N105="N",0,IF($A105="",0,(IF($J105&lt;&gt;"",$J105,IF($I105="BUDGET",IF($H105="",0,$H105),IF($G105="",0,$G105))))*(1+IF($K105="",0,$K105))))</f>
        <v>0</v>
      </c>
      <c r="P105" s="17" t="n">
        <f aca="false">IF(AND(P$4&gt;=IF($L105="",1,$L105),P$4&lt;=IF($M105="",12,$M105)),$O105,0)</f>
        <v>0</v>
      </c>
      <c r="Q105" s="17" t="n">
        <f aca="false">IF(AND(Q$4&gt;=IF($L105="",1,$L105),Q$4&lt;=IF($M105="",12,$M105)),$O105,0)</f>
        <v>0</v>
      </c>
      <c r="R105" s="17" t="n">
        <f aca="false">IF(AND(R$4&gt;=IF($L105="",1,$L105),R$4&lt;=IF($M105="",12,$M105)),$O105,0)</f>
        <v>0</v>
      </c>
      <c r="S105" s="17" t="n">
        <f aca="false">IF(AND(S$4&gt;=IF($L105="",1,$L105),S$4&lt;=IF($M105="",12,$M105)),$O105,0)</f>
        <v>0</v>
      </c>
      <c r="T105" s="17" t="n">
        <f aca="false">IF(AND(T$4&gt;=IF($L105="",1,$L105),T$4&lt;=IF($M105="",12,$M105)),$O105,0)</f>
        <v>0</v>
      </c>
      <c r="U105" s="17" t="n">
        <f aca="false">IF(AND(U$4&gt;=IF($L105="",1,$L105),U$4&lt;=IF($M105="",12,$M105)),$O105,0)</f>
        <v>0</v>
      </c>
      <c r="V105" s="17" t="n">
        <f aca="false">IF(AND(V$4&gt;=IF($L105="",1,$L105),V$4&lt;=IF($M105="",12,$M105)),$O105,0)</f>
        <v>0</v>
      </c>
      <c r="W105" s="17" t="n">
        <f aca="false">IF(AND(W$4&gt;=IF($L105="",1,$L105),W$4&lt;=IF($M105="",12,$M105)),$O105,0)</f>
        <v>0</v>
      </c>
      <c r="X105" s="17" t="n">
        <f aca="false">IF(AND(X$4&gt;=IF($L105="",1,$L105),X$4&lt;=IF($M105="",12,$M105)),$O105,0)</f>
        <v>0</v>
      </c>
      <c r="Y105" s="17" t="n">
        <f aca="false">IF(AND(Y$4&gt;=IF($L105="",1,$L105),Y$4&lt;=IF($M105="",12,$M105)),$O105,0)</f>
        <v>0</v>
      </c>
      <c r="Z105" s="17" t="n">
        <f aca="false">IF(AND(Z$4&gt;=IF($L105="",1,$L105),Z$4&lt;=IF($M105="",12,$M105)),$O105,0)</f>
        <v>0</v>
      </c>
      <c r="AA105" s="17" t="n">
        <f aca="false">IF(AND(AA$4&gt;=IF($L105="",1,$L105),AA$4&lt;=IF($M105="",12,$M105)),$O105,0)</f>
        <v>0</v>
      </c>
      <c r="AB105" s="18" t="n">
        <f aca="false">SUM(P105:AA105)</f>
        <v>0</v>
      </c>
    </row>
    <row r="106" customFormat="false" ht="15" hidden="false" customHeight="false" outlineLevel="0" collapsed="false">
      <c r="A106" s="16" t="s">
        <v>360</v>
      </c>
      <c r="B106" s="25" t="s">
        <v>67</v>
      </c>
      <c r="C106" s="43" t="s">
        <v>264</v>
      </c>
      <c r="D106" s="44" t="s">
        <v>265</v>
      </c>
      <c r="E106" s="45"/>
      <c r="F106" s="40"/>
      <c r="G106" s="46"/>
      <c r="H106" s="40" t="n">
        <v>12</v>
      </c>
      <c r="I106" s="26" t="s">
        <v>266</v>
      </c>
      <c r="J106" s="32"/>
      <c r="K106" s="27" t="n">
        <v>0</v>
      </c>
      <c r="L106" s="26" t="n">
        <v>1</v>
      </c>
      <c r="M106" s="26" t="n">
        <v>12</v>
      </c>
      <c r="N106" s="47" t="s">
        <v>267</v>
      </c>
      <c r="O106" s="18" t="n">
        <f aca="false">IF($N106="N",0,IF($A106="",0,(IF($J106&lt;&gt;"",$J106,IF($I106="BUDGET",IF($H106="",0,$H106),IF($G106="",0,$G106))))*(1+IF($K106="",0,$K106))))</f>
        <v>0</v>
      </c>
      <c r="P106" s="17" t="n">
        <f aca="false">IF(AND(P$4&gt;=IF($L106="",1,$L106),P$4&lt;=IF($M106="",12,$M106)),$O106,0)</f>
        <v>0</v>
      </c>
      <c r="Q106" s="17" t="n">
        <f aca="false">IF(AND(Q$4&gt;=IF($L106="",1,$L106),Q$4&lt;=IF($M106="",12,$M106)),$O106,0)</f>
        <v>0</v>
      </c>
      <c r="R106" s="17" t="n">
        <f aca="false">IF(AND(R$4&gt;=IF($L106="",1,$L106),R$4&lt;=IF($M106="",12,$M106)),$O106,0)</f>
        <v>0</v>
      </c>
      <c r="S106" s="17" t="n">
        <f aca="false">IF(AND(S$4&gt;=IF($L106="",1,$L106),S$4&lt;=IF($M106="",12,$M106)),$O106,0)</f>
        <v>0</v>
      </c>
      <c r="T106" s="17" t="n">
        <f aca="false">IF(AND(T$4&gt;=IF($L106="",1,$L106),T$4&lt;=IF($M106="",12,$M106)),$O106,0)</f>
        <v>0</v>
      </c>
      <c r="U106" s="17" t="n">
        <f aca="false">IF(AND(U$4&gt;=IF($L106="",1,$L106),U$4&lt;=IF($M106="",12,$M106)),$O106,0)</f>
        <v>0</v>
      </c>
      <c r="V106" s="17" t="n">
        <f aca="false">IF(AND(V$4&gt;=IF($L106="",1,$L106),V$4&lt;=IF($M106="",12,$M106)),$O106,0)</f>
        <v>0</v>
      </c>
      <c r="W106" s="17" t="n">
        <f aca="false">IF(AND(W$4&gt;=IF($L106="",1,$L106),W$4&lt;=IF($M106="",12,$M106)),$O106,0)</f>
        <v>0</v>
      </c>
      <c r="X106" s="17" t="n">
        <f aca="false">IF(AND(X$4&gt;=IF($L106="",1,$L106),X$4&lt;=IF($M106="",12,$M106)),$O106,0)</f>
        <v>0</v>
      </c>
      <c r="Y106" s="17" t="n">
        <f aca="false">IF(AND(Y$4&gt;=IF($L106="",1,$L106),Y$4&lt;=IF($M106="",12,$M106)),$O106,0)</f>
        <v>0</v>
      </c>
      <c r="Z106" s="17" t="n">
        <f aca="false">IF(AND(Z$4&gt;=IF($L106="",1,$L106),Z$4&lt;=IF($M106="",12,$M106)),$O106,0)</f>
        <v>0</v>
      </c>
      <c r="AA106" s="17" t="n">
        <f aca="false">IF(AND(AA$4&gt;=IF($L106="",1,$L106),AA$4&lt;=IF($M106="",12,$M106)),$O106,0)</f>
        <v>0</v>
      </c>
      <c r="AB106" s="18" t="n">
        <f aca="false">SUM(P106:AA106)</f>
        <v>0</v>
      </c>
    </row>
    <row r="107" customFormat="false" ht="15" hidden="false" customHeight="false" outlineLevel="0" collapsed="false">
      <c r="A107" s="16" t="s">
        <v>361</v>
      </c>
      <c r="B107" s="25" t="s">
        <v>67</v>
      </c>
      <c r="C107" s="43" t="s">
        <v>264</v>
      </c>
      <c r="D107" s="44" t="s">
        <v>265</v>
      </c>
      <c r="E107" s="45"/>
      <c r="F107" s="40"/>
      <c r="G107" s="46"/>
      <c r="H107" s="40" t="n">
        <v>1.67</v>
      </c>
      <c r="I107" s="26" t="s">
        <v>266</v>
      </c>
      <c r="J107" s="32"/>
      <c r="K107" s="27" t="n">
        <v>0</v>
      </c>
      <c r="L107" s="26" t="n">
        <v>1</v>
      </c>
      <c r="M107" s="26" t="n">
        <v>12</v>
      </c>
      <c r="N107" s="47" t="s">
        <v>267</v>
      </c>
      <c r="O107" s="18" t="n">
        <f aca="false">IF($N107="N",0,IF($A107="",0,(IF($J107&lt;&gt;"",$J107,IF($I107="BUDGET",IF($H107="",0,$H107),IF($G107="",0,$G107))))*(1+IF($K107="",0,$K107))))</f>
        <v>0</v>
      </c>
      <c r="P107" s="17" t="n">
        <f aca="false">IF(AND(P$4&gt;=IF($L107="",1,$L107),P$4&lt;=IF($M107="",12,$M107)),$O107,0)</f>
        <v>0</v>
      </c>
      <c r="Q107" s="17" t="n">
        <f aca="false">IF(AND(Q$4&gt;=IF($L107="",1,$L107),Q$4&lt;=IF($M107="",12,$M107)),$O107,0)</f>
        <v>0</v>
      </c>
      <c r="R107" s="17" t="n">
        <f aca="false">IF(AND(R$4&gt;=IF($L107="",1,$L107),R$4&lt;=IF($M107="",12,$M107)),$O107,0)</f>
        <v>0</v>
      </c>
      <c r="S107" s="17" t="n">
        <f aca="false">IF(AND(S$4&gt;=IF($L107="",1,$L107),S$4&lt;=IF($M107="",12,$M107)),$O107,0)</f>
        <v>0</v>
      </c>
      <c r="T107" s="17" t="n">
        <f aca="false">IF(AND(T$4&gt;=IF($L107="",1,$L107),T$4&lt;=IF($M107="",12,$M107)),$O107,0)</f>
        <v>0</v>
      </c>
      <c r="U107" s="17" t="n">
        <f aca="false">IF(AND(U$4&gt;=IF($L107="",1,$L107),U$4&lt;=IF($M107="",12,$M107)),$O107,0)</f>
        <v>0</v>
      </c>
      <c r="V107" s="17" t="n">
        <f aca="false">IF(AND(V$4&gt;=IF($L107="",1,$L107),V$4&lt;=IF($M107="",12,$M107)),$O107,0)</f>
        <v>0</v>
      </c>
      <c r="W107" s="17" t="n">
        <f aca="false">IF(AND(W$4&gt;=IF($L107="",1,$L107),W$4&lt;=IF($M107="",12,$M107)),$O107,0)</f>
        <v>0</v>
      </c>
      <c r="X107" s="17" t="n">
        <f aca="false">IF(AND(X$4&gt;=IF($L107="",1,$L107),X$4&lt;=IF($M107="",12,$M107)),$O107,0)</f>
        <v>0</v>
      </c>
      <c r="Y107" s="17" t="n">
        <f aca="false">IF(AND(Y$4&gt;=IF($L107="",1,$L107),Y$4&lt;=IF($M107="",12,$M107)),$O107,0)</f>
        <v>0</v>
      </c>
      <c r="Z107" s="17" t="n">
        <f aca="false">IF(AND(Z$4&gt;=IF($L107="",1,$L107),Z$4&lt;=IF($M107="",12,$M107)),$O107,0)</f>
        <v>0</v>
      </c>
      <c r="AA107" s="17" t="n">
        <f aca="false">IF(AND(AA$4&gt;=IF($L107="",1,$L107),AA$4&lt;=IF($M107="",12,$M107)),$O107,0)</f>
        <v>0</v>
      </c>
      <c r="AB107" s="18" t="n">
        <f aca="false">SUM(P107:AA107)</f>
        <v>0</v>
      </c>
    </row>
    <row r="108" customFormat="false" ht="15" hidden="false" customHeight="false" outlineLevel="0" collapsed="false">
      <c r="A108" s="16" t="s">
        <v>271</v>
      </c>
      <c r="B108" s="25" t="s">
        <v>67</v>
      </c>
      <c r="C108" s="43" t="s">
        <v>264</v>
      </c>
      <c r="D108" s="44" t="s">
        <v>265</v>
      </c>
      <c r="E108" s="45"/>
      <c r="F108" s="40"/>
      <c r="G108" s="46"/>
      <c r="H108" s="40" t="n">
        <v>0.01</v>
      </c>
      <c r="I108" s="26" t="s">
        <v>266</v>
      </c>
      <c r="J108" s="32"/>
      <c r="K108" s="27" t="n">
        <v>0</v>
      </c>
      <c r="L108" s="26" t="n">
        <v>1</v>
      </c>
      <c r="M108" s="26" t="n">
        <v>12</v>
      </c>
      <c r="N108" s="47" t="s">
        <v>267</v>
      </c>
      <c r="O108" s="18" t="n">
        <f aca="false">IF($N108="N",0,IF($A108="",0,(IF($J108&lt;&gt;"",$J108,IF($I108="BUDGET",IF($H108="",0,$H108),IF($G108="",0,$G108))))*(1+IF($K108="",0,$K108))))</f>
        <v>0</v>
      </c>
      <c r="P108" s="17" t="n">
        <f aca="false">IF(AND(P$4&gt;=IF($L108="",1,$L108),P$4&lt;=IF($M108="",12,$M108)),$O108,0)</f>
        <v>0</v>
      </c>
      <c r="Q108" s="17" t="n">
        <f aca="false">IF(AND(Q$4&gt;=IF($L108="",1,$L108),Q$4&lt;=IF($M108="",12,$M108)),$O108,0)</f>
        <v>0</v>
      </c>
      <c r="R108" s="17" t="n">
        <f aca="false">IF(AND(R$4&gt;=IF($L108="",1,$L108),R$4&lt;=IF($M108="",12,$M108)),$O108,0)</f>
        <v>0</v>
      </c>
      <c r="S108" s="17" t="n">
        <f aca="false">IF(AND(S$4&gt;=IF($L108="",1,$L108),S$4&lt;=IF($M108="",12,$M108)),$O108,0)</f>
        <v>0</v>
      </c>
      <c r="T108" s="17" t="n">
        <f aca="false">IF(AND(T$4&gt;=IF($L108="",1,$L108),T$4&lt;=IF($M108="",12,$M108)),$O108,0)</f>
        <v>0</v>
      </c>
      <c r="U108" s="17" t="n">
        <f aca="false">IF(AND(U$4&gt;=IF($L108="",1,$L108),U$4&lt;=IF($M108="",12,$M108)),$O108,0)</f>
        <v>0</v>
      </c>
      <c r="V108" s="17" t="n">
        <f aca="false">IF(AND(V$4&gt;=IF($L108="",1,$L108),V$4&lt;=IF($M108="",12,$M108)),$O108,0)</f>
        <v>0</v>
      </c>
      <c r="W108" s="17" t="n">
        <f aca="false">IF(AND(W$4&gt;=IF($L108="",1,$L108),W$4&lt;=IF($M108="",12,$M108)),$O108,0)</f>
        <v>0</v>
      </c>
      <c r="X108" s="17" t="n">
        <f aca="false">IF(AND(X$4&gt;=IF($L108="",1,$L108),X$4&lt;=IF($M108="",12,$M108)),$O108,0)</f>
        <v>0</v>
      </c>
      <c r="Y108" s="17" t="n">
        <f aca="false">IF(AND(Y$4&gt;=IF($L108="",1,$L108),Y$4&lt;=IF($M108="",12,$M108)),$O108,0)</f>
        <v>0</v>
      </c>
      <c r="Z108" s="17" t="n">
        <f aca="false">IF(AND(Z$4&gt;=IF($L108="",1,$L108),Z$4&lt;=IF($M108="",12,$M108)),$O108,0)</f>
        <v>0</v>
      </c>
      <c r="AA108" s="17" t="n">
        <f aca="false">IF(AND(AA$4&gt;=IF($L108="",1,$L108),AA$4&lt;=IF($M108="",12,$M108)),$O108,0)</f>
        <v>0</v>
      </c>
      <c r="AB108" s="18" t="n">
        <f aca="false">SUM(P108:AA108)</f>
        <v>0</v>
      </c>
    </row>
    <row r="109" customFormat="false" ht="15" hidden="false" customHeight="false" outlineLevel="0" collapsed="false">
      <c r="A109" s="42" t="s">
        <v>362</v>
      </c>
      <c r="B109" s="25" t="s">
        <v>67</v>
      </c>
      <c r="C109" s="43" t="s">
        <v>252</v>
      </c>
      <c r="D109" s="52" t="s">
        <v>297</v>
      </c>
      <c r="E109" s="45" t="n">
        <v>1</v>
      </c>
      <c r="F109" s="40"/>
      <c r="G109" s="46" t="n">
        <f aca="false">IFERROR(IF($F109&gt;0,MAX(0,INDEX('XERO ACTUALS'!$T$5:$T$132,MATCH($A109,'XERO ACTUALS'!$A$5:$A$132,0))-$F109),INDEX('XERO ACTUALS'!$T$5:$T$132,MATCH($A109,'XERO ACTUALS'!$A$5:$A$132,0)))*IF($E109="",1,$E109),"")</f>
        <v>0</v>
      </c>
      <c r="H109" s="40" t="n">
        <v>2248.75</v>
      </c>
      <c r="I109" s="26" t="s">
        <v>254</v>
      </c>
      <c r="J109" s="32"/>
      <c r="K109" s="27" t="n">
        <v>0</v>
      </c>
      <c r="L109" s="26" t="n">
        <v>1</v>
      </c>
      <c r="M109" s="26" t="n">
        <v>12</v>
      </c>
      <c r="N109" s="47" t="s">
        <v>267</v>
      </c>
      <c r="O109" s="18" t="n">
        <f aca="false">IF($N109="N",0,IF($A109="",0,(IF($J109&lt;&gt;"",$J109,IF($I109="BUDGET",IF($H109="",0,$H109),IF($G109="",0,$G109))))*(1+IF($K109="",0,$K109))))</f>
        <v>0</v>
      </c>
      <c r="P109" s="17" t="n">
        <f aca="false">IF(AND(P$4&gt;=IF($L109="",1,$L109),P$4&lt;=IF($M109="",12,$M109)),$O109,0)</f>
        <v>0</v>
      </c>
      <c r="Q109" s="17" t="n">
        <f aca="false">IF(AND(Q$4&gt;=IF($L109="",1,$L109),Q$4&lt;=IF($M109="",12,$M109)),$O109,0)</f>
        <v>0</v>
      </c>
      <c r="R109" s="17" t="n">
        <f aca="false">IF(AND(R$4&gt;=IF($L109="",1,$L109),R$4&lt;=IF($M109="",12,$M109)),$O109,0)</f>
        <v>0</v>
      </c>
      <c r="S109" s="17" t="n">
        <f aca="false">IF(AND(S$4&gt;=IF($L109="",1,$L109),S$4&lt;=IF($M109="",12,$M109)),$O109,0)</f>
        <v>0</v>
      </c>
      <c r="T109" s="17" t="n">
        <f aca="false">IF(AND(T$4&gt;=IF($L109="",1,$L109),T$4&lt;=IF($M109="",12,$M109)),$O109,0)</f>
        <v>0</v>
      </c>
      <c r="U109" s="17" t="n">
        <f aca="false">IF(AND(U$4&gt;=IF($L109="",1,$L109),U$4&lt;=IF($M109="",12,$M109)),$O109,0)</f>
        <v>0</v>
      </c>
      <c r="V109" s="17" t="n">
        <f aca="false">IF(AND(V$4&gt;=IF($L109="",1,$L109),V$4&lt;=IF($M109="",12,$M109)),$O109,0)</f>
        <v>0</v>
      </c>
      <c r="W109" s="17" t="n">
        <f aca="false">IF(AND(W$4&gt;=IF($L109="",1,$L109),W$4&lt;=IF($M109="",12,$M109)),$O109,0)</f>
        <v>0</v>
      </c>
      <c r="X109" s="17" t="n">
        <f aca="false">IF(AND(X$4&gt;=IF($L109="",1,$L109),X$4&lt;=IF($M109="",12,$M109)),$O109,0)</f>
        <v>0</v>
      </c>
      <c r="Y109" s="17" t="n">
        <f aca="false">IF(AND(Y$4&gt;=IF($L109="",1,$L109),Y$4&lt;=IF($M109="",12,$M109)),$O109,0)</f>
        <v>0</v>
      </c>
      <c r="Z109" s="17" t="n">
        <f aca="false">IF(AND(Z$4&gt;=IF($L109="",1,$L109),Z$4&lt;=IF($M109="",12,$M109)),$O109,0)</f>
        <v>0</v>
      </c>
      <c r="AA109" s="17" t="n">
        <f aca="false">IF(AND(AA$4&gt;=IF($L109="",1,$L109),AA$4&lt;=IF($M109="",12,$M109)),$O109,0)</f>
        <v>0</v>
      </c>
      <c r="AB109" s="18" t="n">
        <f aca="false">SUM(P109:AA109)</f>
        <v>0</v>
      </c>
    </row>
    <row r="110" customFormat="false" ht="15" hidden="false" customHeight="false" outlineLevel="0" collapsed="false">
      <c r="A110" s="42" t="s">
        <v>363</v>
      </c>
      <c r="B110" s="25" t="s">
        <v>67</v>
      </c>
      <c r="C110" s="43" t="s">
        <v>252</v>
      </c>
      <c r="D110" s="44" t="s">
        <v>253</v>
      </c>
      <c r="E110" s="45" t="n">
        <v>1</v>
      </c>
      <c r="F110" s="40" t="n">
        <v>461.4</v>
      </c>
      <c r="G110" s="46" t="n">
        <f aca="false">IFERROR(IF($F110&gt;0,MAX(0,INDEX('XERO ACTUALS'!$T$5:$T$132,MATCH($A110,'XERO ACTUALS'!$A$5:$A$132,0))-$F110),INDEX('XERO ACTUALS'!$T$5:$T$132,MATCH($A110,'XERO ACTUALS'!$A$5:$A$132,0)))*IF($E110="",1,$E110),"")</f>
        <v>0</v>
      </c>
      <c r="H110" s="40" t="n">
        <v>7.6</v>
      </c>
      <c r="I110" s="26" t="s">
        <v>254</v>
      </c>
      <c r="J110" s="32"/>
      <c r="K110" s="27" t="n">
        <v>0</v>
      </c>
      <c r="L110" s="26" t="n">
        <v>1</v>
      </c>
      <c r="M110" s="26" t="n">
        <v>12</v>
      </c>
      <c r="N110" s="47" t="s">
        <v>255</v>
      </c>
      <c r="O110" s="18" t="n">
        <f aca="false">IF($N110="N",0,IF($A110="",0,(IF($J110&lt;&gt;"",$J110,IF($I110="BUDGET",IF($H110="",0,$H110),IF($G110="",0,$G110))))*(1+IF($K110="",0,$K110))))</f>
        <v>0</v>
      </c>
      <c r="P110" s="17" t="n">
        <f aca="false">IF(AND(P$4&gt;=IF($L110="",1,$L110),P$4&lt;=IF($M110="",12,$M110)),$O110,0)</f>
        <v>0</v>
      </c>
      <c r="Q110" s="17" t="n">
        <f aca="false">IF(AND(Q$4&gt;=IF($L110="",1,$L110),Q$4&lt;=IF($M110="",12,$M110)),$O110,0)</f>
        <v>0</v>
      </c>
      <c r="R110" s="17" t="n">
        <f aca="false">IF(AND(R$4&gt;=IF($L110="",1,$L110),R$4&lt;=IF($M110="",12,$M110)),$O110,0)</f>
        <v>0</v>
      </c>
      <c r="S110" s="17" t="n">
        <f aca="false">IF(AND(S$4&gt;=IF($L110="",1,$L110),S$4&lt;=IF($M110="",12,$M110)),$O110,0)</f>
        <v>0</v>
      </c>
      <c r="T110" s="17" t="n">
        <f aca="false">IF(AND(T$4&gt;=IF($L110="",1,$L110),T$4&lt;=IF($M110="",12,$M110)),$O110,0)</f>
        <v>0</v>
      </c>
      <c r="U110" s="17" t="n">
        <f aca="false">IF(AND(U$4&gt;=IF($L110="",1,$L110),U$4&lt;=IF($M110="",12,$M110)),$O110,0)</f>
        <v>0</v>
      </c>
      <c r="V110" s="17" t="n">
        <f aca="false">IF(AND(V$4&gt;=IF($L110="",1,$L110),V$4&lt;=IF($M110="",12,$M110)),$O110,0)</f>
        <v>0</v>
      </c>
      <c r="W110" s="17" t="n">
        <f aca="false">IF(AND(W$4&gt;=IF($L110="",1,$L110),W$4&lt;=IF($M110="",12,$M110)),$O110,0)</f>
        <v>0</v>
      </c>
      <c r="X110" s="17" t="n">
        <f aca="false">IF(AND(X$4&gt;=IF($L110="",1,$L110),X$4&lt;=IF($M110="",12,$M110)),$O110,0)</f>
        <v>0</v>
      </c>
      <c r="Y110" s="17" t="n">
        <f aca="false">IF(AND(Y$4&gt;=IF($L110="",1,$L110),Y$4&lt;=IF($M110="",12,$M110)),$O110,0)</f>
        <v>0</v>
      </c>
      <c r="Z110" s="17" t="n">
        <f aca="false">IF(AND(Z$4&gt;=IF($L110="",1,$L110),Z$4&lt;=IF($M110="",12,$M110)),$O110,0)</f>
        <v>0</v>
      </c>
      <c r="AA110" s="17" t="n">
        <f aca="false">IF(AND(AA$4&gt;=IF($L110="",1,$L110),AA$4&lt;=IF($M110="",12,$M110)),$O110,0)</f>
        <v>0</v>
      </c>
      <c r="AB110" s="18" t="n">
        <f aca="false">SUM(P110:AA110)</f>
        <v>0</v>
      </c>
    </row>
    <row r="111" customFormat="false" ht="15" hidden="false" customHeight="false" outlineLevel="0" collapsed="false">
      <c r="A111" s="42" t="s">
        <v>364</v>
      </c>
      <c r="B111" s="25" t="s">
        <v>67</v>
      </c>
      <c r="C111" s="43" t="s">
        <v>252</v>
      </c>
      <c r="D111" s="44" t="s">
        <v>253</v>
      </c>
      <c r="E111" s="45" t="n">
        <v>1</v>
      </c>
      <c r="F111" s="40" t="n">
        <v>558.8</v>
      </c>
      <c r="G111" s="46" t="n">
        <f aca="false">IFERROR(IF($F111&gt;0,MAX(0,INDEX('XERO ACTUALS'!$T$5:$T$132,MATCH($A111,'XERO ACTUALS'!$A$5:$A$132,0))-$F111),INDEX('XERO ACTUALS'!$T$5:$T$132,MATCH($A111,'XERO ACTUALS'!$A$5:$A$132,0)))*IF($E111="",1,$E111),"")</f>
        <v>0</v>
      </c>
      <c r="H111" s="40" t="n">
        <v>12.7</v>
      </c>
      <c r="I111" s="26" t="s">
        <v>254</v>
      </c>
      <c r="J111" s="32"/>
      <c r="K111" s="27" t="n">
        <v>0</v>
      </c>
      <c r="L111" s="26" t="n">
        <v>1</v>
      </c>
      <c r="M111" s="26" t="n">
        <v>12</v>
      </c>
      <c r="N111" s="47" t="s">
        <v>255</v>
      </c>
      <c r="O111" s="18" t="n">
        <f aca="false">IF($N111="N",0,IF($A111="",0,(IF($J111&lt;&gt;"",$J111,IF($I111="BUDGET",IF($H111="",0,$H111),IF($G111="",0,$G111))))*(1+IF($K111="",0,$K111))))</f>
        <v>0</v>
      </c>
      <c r="P111" s="17" t="n">
        <f aca="false">IF(AND(P$4&gt;=IF($L111="",1,$L111),P$4&lt;=IF($M111="",12,$M111)),$O111,0)</f>
        <v>0</v>
      </c>
      <c r="Q111" s="17" t="n">
        <f aca="false">IF(AND(Q$4&gt;=IF($L111="",1,$L111),Q$4&lt;=IF($M111="",12,$M111)),$O111,0)</f>
        <v>0</v>
      </c>
      <c r="R111" s="17" t="n">
        <f aca="false">IF(AND(R$4&gt;=IF($L111="",1,$L111),R$4&lt;=IF($M111="",12,$M111)),$O111,0)</f>
        <v>0</v>
      </c>
      <c r="S111" s="17" t="n">
        <f aca="false">IF(AND(S$4&gt;=IF($L111="",1,$L111),S$4&lt;=IF($M111="",12,$M111)),$O111,0)</f>
        <v>0</v>
      </c>
      <c r="T111" s="17" t="n">
        <f aca="false">IF(AND(T$4&gt;=IF($L111="",1,$L111),T$4&lt;=IF($M111="",12,$M111)),$O111,0)</f>
        <v>0</v>
      </c>
      <c r="U111" s="17" t="n">
        <f aca="false">IF(AND(U$4&gt;=IF($L111="",1,$L111),U$4&lt;=IF($M111="",12,$M111)),$O111,0)</f>
        <v>0</v>
      </c>
      <c r="V111" s="17" t="n">
        <f aca="false">IF(AND(V$4&gt;=IF($L111="",1,$L111),V$4&lt;=IF($M111="",12,$M111)),$O111,0)</f>
        <v>0</v>
      </c>
      <c r="W111" s="17" t="n">
        <f aca="false">IF(AND(W$4&gt;=IF($L111="",1,$L111),W$4&lt;=IF($M111="",12,$M111)),$O111,0)</f>
        <v>0</v>
      </c>
      <c r="X111" s="17" t="n">
        <f aca="false">IF(AND(X$4&gt;=IF($L111="",1,$L111),X$4&lt;=IF($M111="",12,$M111)),$O111,0)</f>
        <v>0</v>
      </c>
      <c r="Y111" s="17" t="n">
        <f aca="false">IF(AND(Y$4&gt;=IF($L111="",1,$L111),Y$4&lt;=IF($M111="",12,$M111)),$O111,0)</f>
        <v>0</v>
      </c>
      <c r="Z111" s="17" t="n">
        <f aca="false">IF(AND(Z$4&gt;=IF($L111="",1,$L111),Z$4&lt;=IF($M111="",12,$M111)),$O111,0)</f>
        <v>0</v>
      </c>
      <c r="AA111" s="17" t="n">
        <f aca="false">IF(AND(AA$4&gt;=IF($L111="",1,$L111),AA$4&lt;=IF($M111="",12,$M111)),$O111,0)</f>
        <v>0</v>
      </c>
      <c r="AB111" s="18" t="n">
        <f aca="false">SUM(P111:AA111)</f>
        <v>0</v>
      </c>
    </row>
    <row r="112" customFormat="false" ht="15" hidden="false" customHeight="false" outlineLevel="0" collapsed="false">
      <c r="A112" s="42" t="s">
        <v>365</v>
      </c>
      <c r="B112" s="25" t="s">
        <v>67</v>
      </c>
      <c r="C112" s="43" t="s">
        <v>252</v>
      </c>
      <c r="D112" s="52" t="s">
        <v>297</v>
      </c>
      <c r="E112" s="45" t="n">
        <v>1</v>
      </c>
      <c r="F112" s="40"/>
      <c r="G112" s="46" t="n">
        <f aca="false">IFERROR(IF($F112&gt;0,MAX(0,INDEX('XERO ACTUALS'!$T$5:$T$132,MATCH($A112,'XERO ACTUALS'!$A$5:$A$132,0))-$F112),INDEX('XERO ACTUALS'!$T$5:$T$132,MATCH($A112,'XERO ACTUALS'!$A$5:$A$132,0)))*IF($E112="",1,$E112),"")</f>
        <v>0</v>
      </c>
      <c r="H112" s="40" t="n">
        <v>122.15</v>
      </c>
      <c r="I112" s="26" t="s">
        <v>254</v>
      </c>
      <c r="J112" s="32"/>
      <c r="K112" s="27" t="n">
        <v>0</v>
      </c>
      <c r="L112" s="26" t="n">
        <v>1</v>
      </c>
      <c r="M112" s="26" t="n">
        <v>12</v>
      </c>
      <c r="N112" s="47" t="s">
        <v>267</v>
      </c>
      <c r="O112" s="18" t="n">
        <f aca="false">IF($N112="N",0,IF($A112="",0,(IF($J112&lt;&gt;"",$J112,IF($I112="BUDGET",IF($H112="",0,$H112),IF($G112="",0,$G112))))*(1+IF($K112="",0,$K112))))</f>
        <v>0</v>
      </c>
      <c r="P112" s="17" t="n">
        <f aca="false">IF(AND(P$4&gt;=IF($L112="",1,$L112),P$4&lt;=IF($M112="",12,$M112)),$O112,0)</f>
        <v>0</v>
      </c>
      <c r="Q112" s="17" t="n">
        <f aca="false">IF(AND(Q$4&gt;=IF($L112="",1,$L112),Q$4&lt;=IF($M112="",12,$M112)),$O112,0)</f>
        <v>0</v>
      </c>
      <c r="R112" s="17" t="n">
        <f aca="false">IF(AND(R$4&gt;=IF($L112="",1,$L112),R$4&lt;=IF($M112="",12,$M112)),$O112,0)</f>
        <v>0</v>
      </c>
      <c r="S112" s="17" t="n">
        <f aca="false">IF(AND(S$4&gt;=IF($L112="",1,$L112),S$4&lt;=IF($M112="",12,$M112)),$O112,0)</f>
        <v>0</v>
      </c>
      <c r="T112" s="17" t="n">
        <f aca="false">IF(AND(T$4&gt;=IF($L112="",1,$L112),T$4&lt;=IF($M112="",12,$M112)),$O112,0)</f>
        <v>0</v>
      </c>
      <c r="U112" s="17" t="n">
        <f aca="false">IF(AND(U$4&gt;=IF($L112="",1,$L112),U$4&lt;=IF($M112="",12,$M112)),$O112,0)</f>
        <v>0</v>
      </c>
      <c r="V112" s="17" t="n">
        <f aca="false">IF(AND(V$4&gt;=IF($L112="",1,$L112),V$4&lt;=IF($M112="",12,$M112)),$O112,0)</f>
        <v>0</v>
      </c>
      <c r="W112" s="17" t="n">
        <f aca="false">IF(AND(W$4&gt;=IF($L112="",1,$L112),W$4&lt;=IF($M112="",12,$M112)),$O112,0)</f>
        <v>0</v>
      </c>
      <c r="X112" s="17" t="n">
        <f aca="false">IF(AND(X$4&gt;=IF($L112="",1,$L112),X$4&lt;=IF($M112="",12,$M112)),$O112,0)</f>
        <v>0</v>
      </c>
      <c r="Y112" s="17" t="n">
        <f aca="false">IF(AND(Y$4&gt;=IF($L112="",1,$L112),Y$4&lt;=IF($M112="",12,$M112)),$O112,0)</f>
        <v>0</v>
      </c>
      <c r="Z112" s="17" t="n">
        <f aca="false">IF(AND(Z$4&gt;=IF($L112="",1,$L112),Z$4&lt;=IF($M112="",12,$M112)),$O112,0)</f>
        <v>0</v>
      </c>
      <c r="AA112" s="17" t="n">
        <f aca="false">IF(AND(AA$4&gt;=IF($L112="",1,$L112),AA$4&lt;=IF($M112="",12,$M112)),$O112,0)</f>
        <v>0</v>
      </c>
      <c r="AB112" s="18" t="n">
        <f aca="false">SUM(P112:AA112)</f>
        <v>0</v>
      </c>
    </row>
    <row r="113" customFormat="false" ht="15" hidden="false" customHeight="false" outlineLevel="0" collapsed="false">
      <c r="A113" s="16" t="s">
        <v>366</v>
      </c>
      <c r="B113" s="25" t="s">
        <v>67</v>
      </c>
      <c r="C113" s="43" t="s">
        <v>264</v>
      </c>
      <c r="D113" s="44" t="s">
        <v>265</v>
      </c>
      <c r="E113" s="45"/>
      <c r="F113" s="40"/>
      <c r="G113" s="46"/>
      <c r="H113" s="40" t="n">
        <v>0</v>
      </c>
      <c r="I113" s="26" t="s">
        <v>266</v>
      </c>
      <c r="J113" s="32"/>
      <c r="K113" s="27" t="n">
        <v>0</v>
      </c>
      <c r="L113" s="26" t="n">
        <v>1</v>
      </c>
      <c r="M113" s="26" t="n">
        <v>12</v>
      </c>
      <c r="N113" s="47" t="s">
        <v>267</v>
      </c>
      <c r="O113" s="18" t="n">
        <f aca="false">IF($N113="N",0,IF($A113="",0,(IF($J113&lt;&gt;"",$J113,IF($I113="BUDGET",IF($H113="",0,$H113),IF($G113="",0,$G113))))*(1+IF($K113="",0,$K113))))</f>
        <v>0</v>
      </c>
      <c r="P113" s="17" t="n">
        <f aca="false">IF(AND(P$4&gt;=IF($L113="",1,$L113),P$4&lt;=IF($M113="",12,$M113)),$O113,0)</f>
        <v>0</v>
      </c>
      <c r="Q113" s="17" t="n">
        <f aca="false">IF(AND(Q$4&gt;=IF($L113="",1,$L113),Q$4&lt;=IF($M113="",12,$M113)),$O113,0)</f>
        <v>0</v>
      </c>
      <c r="R113" s="17" t="n">
        <f aca="false">IF(AND(R$4&gt;=IF($L113="",1,$L113),R$4&lt;=IF($M113="",12,$M113)),$O113,0)</f>
        <v>0</v>
      </c>
      <c r="S113" s="17" t="n">
        <f aca="false">IF(AND(S$4&gt;=IF($L113="",1,$L113),S$4&lt;=IF($M113="",12,$M113)),$O113,0)</f>
        <v>0</v>
      </c>
      <c r="T113" s="17" t="n">
        <f aca="false">IF(AND(T$4&gt;=IF($L113="",1,$L113),T$4&lt;=IF($M113="",12,$M113)),$O113,0)</f>
        <v>0</v>
      </c>
      <c r="U113" s="17" t="n">
        <f aca="false">IF(AND(U$4&gt;=IF($L113="",1,$L113),U$4&lt;=IF($M113="",12,$M113)),$O113,0)</f>
        <v>0</v>
      </c>
      <c r="V113" s="17" t="n">
        <f aca="false">IF(AND(V$4&gt;=IF($L113="",1,$L113),V$4&lt;=IF($M113="",12,$M113)),$O113,0)</f>
        <v>0</v>
      </c>
      <c r="W113" s="17" t="n">
        <f aca="false">IF(AND(W$4&gt;=IF($L113="",1,$L113),W$4&lt;=IF($M113="",12,$M113)),$O113,0)</f>
        <v>0</v>
      </c>
      <c r="X113" s="17" t="n">
        <f aca="false">IF(AND(X$4&gt;=IF($L113="",1,$L113),X$4&lt;=IF($M113="",12,$M113)),$O113,0)</f>
        <v>0</v>
      </c>
      <c r="Y113" s="17" t="n">
        <f aca="false">IF(AND(Y$4&gt;=IF($L113="",1,$L113),Y$4&lt;=IF($M113="",12,$M113)),$O113,0)</f>
        <v>0</v>
      </c>
      <c r="Z113" s="17" t="n">
        <f aca="false">IF(AND(Z$4&gt;=IF($L113="",1,$L113),Z$4&lt;=IF($M113="",12,$M113)),$O113,0)</f>
        <v>0</v>
      </c>
      <c r="AA113" s="17" t="n">
        <f aca="false">IF(AND(AA$4&gt;=IF($L113="",1,$L113),AA$4&lt;=IF($M113="",12,$M113)),$O113,0)</f>
        <v>0</v>
      </c>
      <c r="AB113" s="18" t="n">
        <f aca="false">SUM(P113:AA113)</f>
        <v>0</v>
      </c>
    </row>
    <row r="114" customFormat="false" ht="15" hidden="false" customHeight="false" outlineLevel="0" collapsed="false">
      <c r="A114" s="16" t="s">
        <v>367</v>
      </c>
      <c r="B114" s="25" t="s">
        <v>67</v>
      </c>
      <c r="C114" s="43" t="s">
        <v>264</v>
      </c>
      <c r="D114" s="44" t="s">
        <v>265</v>
      </c>
      <c r="E114" s="45"/>
      <c r="F114" s="40"/>
      <c r="G114" s="46"/>
      <c r="H114" s="40" t="n">
        <v>0</v>
      </c>
      <c r="I114" s="26" t="s">
        <v>266</v>
      </c>
      <c r="J114" s="32"/>
      <c r="K114" s="27" t="n">
        <v>0</v>
      </c>
      <c r="L114" s="26" t="n">
        <v>1</v>
      </c>
      <c r="M114" s="26" t="n">
        <v>12</v>
      </c>
      <c r="N114" s="47" t="s">
        <v>267</v>
      </c>
      <c r="O114" s="18" t="n">
        <f aca="false">IF($N114="N",0,IF($A114="",0,(IF($J114&lt;&gt;"",$J114,IF($I114="BUDGET",IF($H114="",0,$H114),IF($G114="",0,$G114))))*(1+IF($K114="",0,$K114))))</f>
        <v>0</v>
      </c>
      <c r="P114" s="17" t="n">
        <f aca="false">IF(AND(P$4&gt;=IF($L114="",1,$L114),P$4&lt;=IF($M114="",12,$M114)),$O114,0)</f>
        <v>0</v>
      </c>
      <c r="Q114" s="17" t="n">
        <f aca="false">IF(AND(Q$4&gt;=IF($L114="",1,$L114),Q$4&lt;=IF($M114="",12,$M114)),$O114,0)</f>
        <v>0</v>
      </c>
      <c r="R114" s="17" t="n">
        <f aca="false">IF(AND(R$4&gt;=IF($L114="",1,$L114),R$4&lt;=IF($M114="",12,$M114)),$O114,0)</f>
        <v>0</v>
      </c>
      <c r="S114" s="17" t="n">
        <f aca="false">IF(AND(S$4&gt;=IF($L114="",1,$L114),S$4&lt;=IF($M114="",12,$M114)),$O114,0)</f>
        <v>0</v>
      </c>
      <c r="T114" s="17" t="n">
        <f aca="false">IF(AND(T$4&gt;=IF($L114="",1,$L114),T$4&lt;=IF($M114="",12,$M114)),$O114,0)</f>
        <v>0</v>
      </c>
      <c r="U114" s="17" t="n">
        <f aca="false">IF(AND(U$4&gt;=IF($L114="",1,$L114),U$4&lt;=IF($M114="",12,$M114)),$O114,0)</f>
        <v>0</v>
      </c>
      <c r="V114" s="17" t="n">
        <f aca="false">IF(AND(V$4&gt;=IF($L114="",1,$L114),V$4&lt;=IF($M114="",12,$M114)),$O114,0)</f>
        <v>0</v>
      </c>
      <c r="W114" s="17" t="n">
        <f aca="false">IF(AND(W$4&gt;=IF($L114="",1,$L114),W$4&lt;=IF($M114="",12,$M114)),$O114,0)</f>
        <v>0</v>
      </c>
      <c r="X114" s="17" t="n">
        <f aca="false">IF(AND(X$4&gt;=IF($L114="",1,$L114),X$4&lt;=IF($M114="",12,$M114)),$O114,0)</f>
        <v>0</v>
      </c>
      <c r="Y114" s="17" t="n">
        <f aca="false">IF(AND(Y$4&gt;=IF($L114="",1,$L114),Y$4&lt;=IF($M114="",12,$M114)),$O114,0)</f>
        <v>0</v>
      </c>
      <c r="Z114" s="17" t="n">
        <f aca="false">IF(AND(Z$4&gt;=IF($L114="",1,$L114),Z$4&lt;=IF($M114="",12,$M114)),$O114,0)</f>
        <v>0</v>
      </c>
      <c r="AA114" s="17" t="n">
        <f aca="false">IF(AND(AA$4&gt;=IF($L114="",1,$L114),AA$4&lt;=IF($M114="",12,$M114)),$O114,0)</f>
        <v>0</v>
      </c>
      <c r="AB114" s="18" t="n">
        <f aca="false">SUM(P114:AA114)</f>
        <v>0</v>
      </c>
    </row>
    <row r="115" customFormat="false" ht="15" hidden="false" customHeight="false" outlineLevel="0" collapsed="false">
      <c r="A115" s="42" t="s">
        <v>368</v>
      </c>
      <c r="B115" s="25" t="s">
        <v>68</v>
      </c>
      <c r="C115" s="43" t="s">
        <v>252</v>
      </c>
      <c r="D115" s="44" t="s">
        <v>253</v>
      </c>
      <c r="E115" s="45" t="n">
        <v>1</v>
      </c>
      <c r="F115" s="40"/>
      <c r="G115" s="46" t="n">
        <f aca="false">IFERROR(IF($F115&gt;0,MAX(0,INDEX('XERO ACTUALS'!$T$5:$T$132,MATCH($A115,'XERO ACTUALS'!$A$5:$A$132,0))-$F115),INDEX('XERO ACTUALS'!$T$5:$T$132,MATCH($A115,'XERO ACTUALS'!$A$5:$A$132,0)))*IF($E115="",1,$E115),"")</f>
        <v>10260</v>
      </c>
      <c r="H115" s="40" t="n">
        <v>2400</v>
      </c>
      <c r="I115" s="26" t="s">
        <v>254</v>
      </c>
      <c r="J115" s="32"/>
      <c r="K115" s="27" t="n">
        <v>0</v>
      </c>
      <c r="L115" s="26" t="n">
        <v>1</v>
      </c>
      <c r="M115" s="26" t="n">
        <v>12</v>
      </c>
      <c r="N115" s="47" t="s">
        <v>255</v>
      </c>
      <c r="O115" s="18" t="n">
        <f aca="false">IF($N115="N",0,IF($A115="",0,(IF($J115&lt;&gt;"",$J115,IF($I115="BUDGET",IF($H115="",0,$H115),IF($G115="",0,$G115))))*(1+IF($K115="",0,$K115))))</f>
        <v>10260</v>
      </c>
      <c r="P115" s="17" t="n">
        <f aca="false">IF(AND(P$4&gt;=IF($L115="",1,$L115),P$4&lt;=IF($M115="",12,$M115)),$O115,0)</f>
        <v>10260</v>
      </c>
      <c r="Q115" s="17" t="n">
        <f aca="false">IF(AND(Q$4&gt;=IF($L115="",1,$L115),Q$4&lt;=IF($M115="",12,$M115)),$O115,0)</f>
        <v>10260</v>
      </c>
      <c r="R115" s="17" t="n">
        <f aca="false">IF(AND(R$4&gt;=IF($L115="",1,$L115),R$4&lt;=IF($M115="",12,$M115)),$O115,0)</f>
        <v>10260</v>
      </c>
      <c r="S115" s="17" t="n">
        <f aca="false">IF(AND(S$4&gt;=IF($L115="",1,$L115),S$4&lt;=IF($M115="",12,$M115)),$O115,0)</f>
        <v>10260</v>
      </c>
      <c r="T115" s="17" t="n">
        <f aca="false">IF(AND(T$4&gt;=IF($L115="",1,$L115),T$4&lt;=IF($M115="",12,$M115)),$O115,0)</f>
        <v>10260</v>
      </c>
      <c r="U115" s="17" t="n">
        <f aca="false">IF(AND(U$4&gt;=IF($L115="",1,$L115),U$4&lt;=IF($M115="",12,$M115)),$O115,0)</f>
        <v>10260</v>
      </c>
      <c r="V115" s="17" t="n">
        <f aca="false">IF(AND(V$4&gt;=IF($L115="",1,$L115),V$4&lt;=IF($M115="",12,$M115)),$O115,0)</f>
        <v>10260</v>
      </c>
      <c r="W115" s="17" t="n">
        <f aca="false">IF(AND(W$4&gt;=IF($L115="",1,$L115),W$4&lt;=IF($M115="",12,$M115)),$O115,0)</f>
        <v>10260</v>
      </c>
      <c r="X115" s="17" t="n">
        <f aca="false">IF(AND(X$4&gt;=IF($L115="",1,$L115),X$4&lt;=IF($M115="",12,$M115)),$O115,0)</f>
        <v>10260</v>
      </c>
      <c r="Y115" s="17" t="n">
        <f aca="false">IF(AND(Y$4&gt;=IF($L115="",1,$L115),Y$4&lt;=IF($M115="",12,$M115)),$O115,0)</f>
        <v>10260</v>
      </c>
      <c r="Z115" s="17" t="n">
        <f aca="false">IF(AND(Z$4&gt;=IF($L115="",1,$L115),Z$4&lt;=IF($M115="",12,$M115)),$O115,0)</f>
        <v>10260</v>
      </c>
      <c r="AA115" s="17" t="n">
        <f aca="false">IF(AND(AA$4&gt;=IF($L115="",1,$L115),AA$4&lt;=IF($M115="",12,$M115)),$O115,0)</f>
        <v>10260</v>
      </c>
      <c r="AB115" s="18" t="n">
        <f aca="false">SUM(P115:AA115)</f>
        <v>123120</v>
      </c>
    </row>
    <row r="116" customFormat="false" ht="15" hidden="false" customHeight="false" outlineLevel="0" collapsed="false">
      <c r="A116" s="42" t="s">
        <v>369</v>
      </c>
      <c r="B116" s="25" t="s">
        <v>68</v>
      </c>
      <c r="C116" s="43" t="s">
        <v>260</v>
      </c>
      <c r="D116" s="48" t="s">
        <v>261</v>
      </c>
      <c r="E116" s="45" t="n">
        <v>1</v>
      </c>
      <c r="F116" s="40"/>
      <c r="G116" s="46" t="n">
        <f aca="false">IFERROR(IF($F116&gt;0,MAX(0,INDEX('XERO ACTUALS'!$T$5:$T$132,MATCH($A116,'XERO ACTUALS'!$A$5:$A$132,0))-$F116),INDEX('XERO ACTUALS'!$T$5:$T$132,MATCH($A116,'XERO ACTUALS'!$A$5:$A$132,0)))*IF($E116="",1,$E116),"")</f>
        <v>1776.18</v>
      </c>
      <c r="H116" s="40"/>
      <c r="I116" s="26" t="s">
        <v>254</v>
      </c>
      <c r="J116" s="32"/>
      <c r="K116" s="27" t="n">
        <v>0</v>
      </c>
      <c r="L116" s="26" t="n">
        <v>1</v>
      </c>
      <c r="M116" s="26" t="n">
        <v>12</v>
      </c>
      <c r="N116" s="47" t="s">
        <v>255</v>
      </c>
      <c r="O116" s="18" t="n">
        <f aca="false">IF($N116="N",0,IF($A116="",0,(IF($J116&lt;&gt;"",$J116,IF($I116="BUDGET",IF($H116="",0,$H116),IF($G116="",0,$G116))))*(1+IF($K116="",0,$K116))))</f>
        <v>1776.18</v>
      </c>
      <c r="P116" s="17" t="n">
        <f aca="false">IF(AND(P$4&gt;=IF($L116="",1,$L116),P$4&lt;=IF($M116="",12,$M116)),$O116,0)</f>
        <v>1776.18</v>
      </c>
      <c r="Q116" s="17" t="n">
        <f aca="false">IF(AND(Q$4&gt;=IF($L116="",1,$L116),Q$4&lt;=IF($M116="",12,$M116)),$O116,0)</f>
        <v>1776.18</v>
      </c>
      <c r="R116" s="17" t="n">
        <f aca="false">IF(AND(R$4&gt;=IF($L116="",1,$L116),R$4&lt;=IF($M116="",12,$M116)),$O116,0)</f>
        <v>1776.18</v>
      </c>
      <c r="S116" s="17" t="n">
        <f aca="false">IF(AND(S$4&gt;=IF($L116="",1,$L116),S$4&lt;=IF($M116="",12,$M116)),$O116,0)</f>
        <v>1776.18</v>
      </c>
      <c r="T116" s="17" t="n">
        <f aca="false">IF(AND(T$4&gt;=IF($L116="",1,$L116),T$4&lt;=IF($M116="",12,$M116)),$O116,0)</f>
        <v>1776.18</v>
      </c>
      <c r="U116" s="17" t="n">
        <f aca="false">IF(AND(U$4&gt;=IF($L116="",1,$L116),U$4&lt;=IF($M116="",12,$M116)),$O116,0)</f>
        <v>1776.18</v>
      </c>
      <c r="V116" s="17" t="n">
        <f aca="false">IF(AND(V$4&gt;=IF($L116="",1,$L116),V$4&lt;=IF($M116="",12,$M116)),$O116,0)</f>
        <v>1776.18</v>
      </c>
      <c r="W116" s="17" t="n">
        <f aca="false">IF(AND(W$4&gt;=IF($L116="",1,$L116),W$4&lt;=IF($M116="",12,$M116)),$O116,0)</f>
        <v>1776.18</v>
      </c>
      <c r="X116" s="17" t="n">
        <f aca="false">IF(AND(X$4&gt;=IF($L116="",1,$L116),X$4&lt;=IF($M116="",12,$M116)),$O116,0)</f>
        <v>1776.18</v>
      </c>
      <c r="Y116" s="17" t="n">
        <f aca="false">IF(AND(Y$4&gt;=IF($L116="",1,$L116),Y$4&lt;=IF($M116="",12,$M116)),$O116,0)</f>
        <v>1776.18</v>
      </c>
      <c r="Z116" s="17" t="n">
        <f aca="false">IF(AND(Z$4&gt;=IF($L116="",1,$L116),Z$4&lt;=IF($M116="",12,$M116)),$O116,0)</f>
        <v>1776.18</v>
      </c>
      <c r="AA116" s="17" t="n">
        <f aca="false">IF(AND(AA$4&gt;=IF($L116="",1,$L116),AA$4&lt;=IF($M116="",12,$M116)),$O116,0)</f>
        <v>1776.18</v>
      </c>
      <c r="AB116" s="18" t="n">
        <f aca="false">SUM(P116:AA116)</f>
        <v>21314.16</v>
      </c>
    </row>
    <row r="117" customFormat="false" ht="15" hidden="false" customHeight="false" outlineLevel="0" collapsed="false">
      <c r="A117" s="42" t="s">
        <v>370</v>
      </c>
      <c r="B117" s="25" t="s">
        <v>68</v>
      </c>
      <c r="C117" s="43" t="s">
        <v>252</v>
      </c>
      <c r="D117" s="44" t="s">
        <v>253</v>
      </c>
      <c r="E117" s="45" t="n">
        <v>1</v>
      </c>
      <c r="F117" s="40"/>
      <c r="G117" s="46" t="n">
        <f aca="false">IFERROR(IF($F117&gt;0,MAX(0,INDEX('XERO ACTUALS'!$T$5:$T$132,MATCH($A117,'XERO ACTUALS'!$A$5:$A$132,0))-$F117),INDEX('XERO ACTUALS'!$T$5:$T$132,MATCH($A117,'XERO ACTUALS'!$A$5:$A$132,0)))*IF($E117="",1,$E117),"")</f>
        <v>1009.47333333333</v>
      </c>
      <c r="H117" s="40" t="n">
        <v>656.66</v>
      </c>
      <c r="I117" s="26" t="s">
        <v>254</v>
      </c>
      <c r="J117" s="32"/>
      <c r="K117" s="27" t="n">
        <v>0</v>
      </c>
      <c r="L117" s="26" t="n">
        <v>1</v>
      </c>
      <c r="M117" s="26" t="n">
        <v>12</v>
      </c>
      <c r="N117" s="47" t="s">
        <v>255</v>
      </c>
      <c r="O117" s="18" t="n">
        <f aca="false">IF($N117="N",0,IF($A117="",0,(IF($J117&lt;&gt;"",$J117,IF($I117="BUDGET",IF($H117="",0,$H117),IF($G117="",0,$G117))))*(1+IF($K117="",0,$K117))))</f>
        <v>1009.47333333333</v>
      </c>
      <c r="P117" s="17" t="n">
        <f aca="false">IF(AND(P$4&gt;=IF($L117="",1,$L117),P$4&lt;=IF($M117="",12,$M117)),$O117,0)</f>
        <v>1009.47333333333</v>
      </c>
      <c r="Q117" s="17" t="n">
        <f aca="false">IF(AND(Q$4&gt;=IF($L117="",1,$L117),Q$4&lt;=IF($M117="",12,$M117)),$O117,0)</f>
        <v>1009.47333333333</v>
      </c>
      <c r="R117" s="17" t="n">
        <f aca="false">IF(AND(R$4&gt;=IF($L117="",1,$L117),R$4&lt;=IF($M117="",12,$M117)),$O117,0)</f>
        <v>1009.47333333333</v>
      </c>
      <c r="S117" s="17" t="n">
        <f aca="false">IF(AND(S$4&gt;=IF($L117="",1,$L117),S$4&lt;=IF($M117="",12,$M117)),$O117,0)</f>
        <v>1009.47333333333</v>
      </c>
      <c r="T117" s="17" t="n">
        <f aca="false">IF(AND(T$4&gt;=IF($L117="",1,$L117),T$4&lt;=IF($M117="",12,$M117)),$O117,0)</f>
        <v>1009.47333333333</v>
      </c>
      <c r="U117" s="17" t="n">
        <f aca="false">IF(AND(U$4&gt;=IF($L117="",1,$L117),U$4&lt;=IF($M117="",12,$M117)),$O117,0)</f>
        <v>1009.47333333333</v>
      </c>
      <c r="V117" s="17" t="n">
        <f aca="false">IF(AND(V$4&gt;=IF($L117="",1,$L117),V$4&lt;=IF($M117="",12,$M117)),$O117,0)</f>
        <v>1009.47333333333</v>
      </c>
      <c r="W117" s="17" t="n">
        <f aca="false">IF(AND(W$4&gt;=IF($L117="",1,$L117),W$4&lt;=IF($M117="",12,$M117)),$O117,0)</f>
        <v>1009.47333333333</v>
      </c>
      <c r="X117" s="17" t="n">
        <f aca="false">IF(AND(X$4&gt;=IF($L117="",1,$L117),X$4&lt;=IF($M117="",12,$M117)),$O117,0)</f>
        <v>1009.47333333333</v>
      </c>
      <c r="Y117" s="17" t="n">
        <f aca="false">IF(AND(Y$4&gt;=IF($L117="",1,$L117),Y$4&lt;=IF($M117="",12,$M117)),$O117,0)</f>
        <v>1009.47333333333</v>
      </c>
      <c r="Z117" s="17" t="n">
        <f aca="false">IF(AND(Z$4&gt;=IF($L117="",1,$L117),Z$4&lt;=IF($M117="",12,$M117)),$O117,0)</f>
        <v>1009.47333333333</v>
      </c>
      <c r="AA117" s="17" t="n">
        <f aca="false">IF(AND(AA$4&gt;=IF($L117="",1,$L117),AA$4&lt;=IF($M117="",12,$M117)),$O117,0)</f>
        <v>1009.47333333333</v>
      </c>
      <c r="AB117" s="18" t="n">
        <f aca="false">SUM(P117:AA117)</f>
        <v>12113.68</v>
      </c>
    </row>
    <row r="118" customFormat="false" ht="15" hidden="false" customHeight="false" outlineLevel="0" collapsed="false">
      <c r="A118" s="16" t="s">
        <v>371</v>
      </c>
      <c r="B118" s="25" t="s">
        <v>68</v>
      </c>
      <c r="C118" s="43" t="s">
        <v>264</v>
      </c>
      <c r="D118" s="44" t="s">
        <v>265</v>
      </c>
      <c r="E118" s="45"/>
      <c r="F118" s="40"/>
      <c r="G118" s="46"/>
      <c r="H118" s="40" t="n">
        <v>940</v>
      </c>
      <c r="I118" s="26" t="s">
        <v>266</v>
      </c>
      <c r="J118" s="32"/>
      <c r="K118" s="27" t="n">
        <v>0</v>
      </c>
      <c r="L118" s="26" t="n">
        <v>1</v>
      </c>
      <c r="M118" s="26" t="n">
        <v>12</v>
      </c>
      <c r="N118" s="47" t="s">
        <v>267</v>
      </c>
      <c r="O118" s="18" t="n">
        <f aca="false">IF($N118="N",0,IF($A118="",0,(IF($J118&lt;&gt;"",$J118,IF($I118="BUDGET",IF($H118="",0,$H118),IF($G118="",0,$G118))))*(1+IF($K118="",0,$K118))))</f>
        <v>0</v>
      </c>
      <c r="P118" s="17" t="n">
        <f aca="false">IF(AND(P$4&gt;=IF($L118="",1,$L118),P$4&lt;=IF($M118="",12,$M118)),$O118,0)</f>
        <v>0</v>
      </c>
      <c r="Q118" s="17" t="n">
        <f aca="false">IF(AND(Q$4&gt;=IF($L118="",1,$L118),Q$4&lt;=IF($M118="",12,$M118)),$O118,0)</f>
        <v>0</v>
      </c>
      <c r="R118" s="17" t="n">
        <f aca="false">IF(AND(R$4&gt;=IF($L118="",1,$L118),R$4&lt;=IF($M118="",12,$M118)),$O118,0)</f>
        <v>0</v>
      </c>
      <c r="S118" s="17" t="n">
        <f aca="false">IF(AND(S$4&gt;=IF($L118="",1,$L118),S$4&lt;=IF($M118="",12,$M118)),$O118,0)</f>
        <v>0</v>
      </c>
      <c r="T118" s="17" t="n">
        <f aca="false">IF(AND(T$4&gt;=IF($L118="",1,$L118),T$4&lt;=IF($M118="",12,$M118)),$O118,0)</f>
        <v>0</v>
      </c>
      <c r="U118" s="17" t="n">
        <f aca="false">IF(AND(U$4&gt;=IF($L118="",1,$L118),U$4&lt;=IF($M118="",12,$M118)),$O118,0)</f>
        <v>0</v>
      </c>
      <c r="V118" s="17" t="n">
        <f aca="false">IF(AND(V$4&gt;=IF($L118="",1,$L118),V$4&lt;=IF($M118="",12,$M118)),$O118,0)</f>
        <v>0</v>
      </c>
      <c r="W118" s="17" t="n">
        <f aca="false">IF(AND(W$4&gt;=IF($L118="",1,$L118),W$4&lt;=IF($M118="",12,$M118)),$O118,0)</f>
        <v>0</v>
      </c>
      <c r="X118" s="17" t="n">
        <f aca="false">IF(AND(X$4&gt;=IF($L118="",1,$L118),X$4&lt;=IF($M118="",12,$M118)),$O118,0)</f>
        <v>0</v>
      </c>
      <c r="Y118" s="17" t="n">
        <f aca="false">IF(AND(Y$4&gt;=IF($L118="",1,$L118),Y$4&lt;=IF($M118="",12,$M118)),$O118,0)</f>
        <v>0</v>
      </c>
      <c r="Z118" s="17" t="n">
        <f aca="false">IF(AND(Z$4&gt;=IF($L118="",1,$L118),Z$4&lt;=IF($M118="",12,$M118)),$O118,0)</f>
        <v>0</v>
      </c>
      <c r="AA118" s="17" t="n">
        <f aca="false">IF(AND(AA$4&gt;=IF($L118="",1,$L118),AA$4&lt;=IF($M118="",12,$M118)),$O118,0)</f>
        <v>0</v>
      </c>
      <c r="AB118" s="18" t="n">
        <f aca="false">SUM(P118:AA118)</f>
        <v>0</v>
      </c>
    </row>
    <row r="119" customFormat="false" ht="15" hidden="false" customHeight="false" outlineLevel="0" collapsed="false">
      <c r="A119" s="42" t="s">
        <v>372</v>
      </c>
      <c r="B119" s="25" t="s">
        <v>68</v>
      </c>
      <c r="C119" s="43" t="s">
        <v>252</v>
      </c>
      <c r="D119" s="49" t="s">
        <v>278</v>
      </c>
      <c r="E119" s="45" t="n">
        <v>1</v>
      </c>
      <c r="F119" s="40"/>
      <c r="G119" s="46" t="n">
        <f aca="false">IFERROR(IF($F119&gt;0,MAX(0,INDEX('XERO ACTUALS'!$T$5:$T$132,MATCH($A119,'XERO ACTUALS'!$A$5:$A$132,0))-$F119),INDEX('XERO ACTUALS'!$T$5:$T$132,MATCH($A119,'XERO ACTUALS'!$A$5:$A$132,0)))*IF($E119="",1,$E119),"")</f>
        <v>938.813333333333</v>
      </c>
      <c r="H119" s="40" t="n">
        <v>807.62</v>
      </c>
      <c r="I119" s="26" t="s">
        <v>254</v>
      </c>
      <c r="J119" s="32"/>
      <c r="K119" s="27" t="n">
        <v>0</v>
      </c>
      <c r="L119" s="26" t="n">
        <v>1</v>
      </c>
      <c r="M119" s="26" t="n">
        <v>12</v>
      </c>
      <c r="N119" s="47" t="s">
        <v>255</v>
      </c>
      <c r="O119" s="18" t="n">
        <f aca="false">IF($N119="N",0,IF($A119="",0,(IF($J119&lt;&gt;"",$J119,IF($I119="BUDGET",IF($H119="",0,$H119),IF($G119="",0,$G119))))*(1+IF($K119="",0,$K119))))</f>
        <v>938.813333333333</v>
      </c>
      <c r="P119" s="17" t="n">
        <f aca="false">IF(AND(P$4&gt;=IF($L119="",1,$L119),P$4&lt;=IF($M119="",12,$M119)),$O119,0)</f>
        <v>938.813333333333</v>
      </c>
      <c r="Q119" s="17" t="n">
        <f aca="false">IF(AND(Q$4&gt;=IF($L119="",1,$L119),Q$4&lt;=IF($M119="",12,$M119)),$O119,0)</f>
        <v>938.813333333333</v>
      </c>
      <c r="R119" s="17" t="n">
        <f aca="false">IF(AND(R$4&gt;=IF($L119="",1,$L119),R$4&lt;=IF($M119="",12,$M119)),$O119,0)</f>
        <v>938.813333333333</v>
      </c>
      <c r="S119" s="17" t="n">
        <f aca="false">IF(AND(S$4&gt;=IF($L119="",1,$L119),S$4&lt;=IF($M119="",12,$M119)),$O119,0)</f>
        <v>938.813333333333</v>
      </c>
      <c r="T119" s="17" t="n">
        <f aca="false">IF(AND(T$4&gt;=IF($L119="",1,$L119),T$4&lt;=IF($M119="",12,$M119)),$O119,0)</f>
        <v>938.813333333333</v>
      </c>
      <c r="U119" s="17" t="n">
        <f aca="false">IF(AND(U$4&gt;=IF($L119="",1,$L119),U$4&lt;=IF($M119="",12,$M119)),$O119,0)</f>
        <v>938.813333333333</v>
      </c>
      <c r="V119" s="17" t="n">
        <f aca="false">IF(AND(V$4&gt;=IF($L119="",1,$L119),V$4&lt;=IF($M119="",12,$M119)),$O119,0)</f>
        <v>938.813333333333</v>
      </c>
      <c r="W119" s="17" t="n">
        <f aca="false">IF(AND(W$4&gt;=IF($L119="",1,$L119),W$4&lt;=IF($M119="",12,$M119)),$O119,0)</f>
        <v>938.813333333333</v>
      </c>
      <c r="X119" s="17" t="n">
        <f aca="false">IF(AND(X$4&gt;=IF($L119="",1,$L119),X$4&lt;=IF($M119="",12,$M119)),$O119,0)</f>
        <v>938.813333333333</v>
      </c>
      <c r="Y119" s="17" t="n">
        <f aca="false">IF(AND(Y$4&gt;=IF($L119="",1,$L119),Y$4&lt;=IF($M119="",12,$M119)),$O119,0)</f>
        <v>938.813333333333</v>
      </c>
      <c r="Z119" s="17" t="n">
        <f aca="false">IF(AND(Z$4&gt;=IF($L119="",1,$L119),Z$4&lt;=IF($M119="",12,$M119)),$O119,0)</f>
        <v>938.813333333333</v>
      </c>
      <c r="AA119" s="17" t="n">
        <f aca="false">IF(AND(AA$4&gt;=IF($L119="",1,$L119),AA$4&lt;=IF($M119="",12,$M119)),$O119,0)</f>
        <v>938.813333333333</v>
      </c>
      <c r="AB119" s="18" t="n">
        <f aca="false">SUM(P119:AA119)</f>
        <v>11265.76</v>
      </c>
    </row>
    <row r="120" customFormat="false" ht="15" hidden="false" customHeight="false" outlineLevel="0" collapsed="false">
      <c r="A120" s="42" t="s">
        <v>373</v>
      </c>
      <c r="B120" s="25" t="s">
        <v>68</v>
      </c>
      <c r="C120" s="43" t="s">
        <v>252</v>
      </c>
      <c r="D120" s="44" t="s">
        <v>253</v>
      </c>
      <c r="E120" s="45" t="n">
        <v>1</v>
      </c>
      <c r="F120" s="40"/>
      <c r="G120" s="46" t="n">
        <f aca="false">IFERROR(IF($F120&gt;0,MAX(0,INDEX('XERO ACTUALS'!$T$5:$T$132,MATCH($A120,'XERO ACTUALS'!$A$5:$A$132,0))-$F120),INDEX('XERO ACTUALS'!$T$5:$T$132,MATCH($A120,'XERO ACTUALS'!$A$5:$A$132,0)))*IF($E120="",1,$E120),"")</f>
        <v>760</v>
      </c>
      <c r="H120" s="40" t="n">
        <v>810</v>
      </c>
      <c r="I120" s="26" t="s">
        <v>254</v>
      </c>
      <c r="J120" s="32"/>
      <c r="K120" s="27" t="n">
        <v>0</v>
      </c>
      <c r="L120" s="26" t="n">
        <v>1</v>
      </c>
      <c r="M120" s="26" t="n">
        <v>12</v>
      </c>
      <c r="N120" s="47" t="s">
        <v>255</v>
      </c>
      <c r="O120" s="18" t="n">
        <f aca="false">IF($N120="N",0,IF($A120="",0,(IF($J120&lt;&gt;"",$J120,IF($I120="BUDGET",IF($H120="",0,$H120),IF($G120="",0,$G120))))*(1+IF($K120="",0,$K120))))</f>
        <v>760</v>
      </c>
      <c r="P120" s="17" t="n">
        <f aca="false">IF(AND(P$4&gt;=IF($L120="",1,$L120),P$4&lt;=IF($M120="",12,$M120)),$O120,0)</f>
        <v>760</v>
      </c>
      <c r="Q120" s="17" t="n">
        <f aca="false">IF(AND(Q$4&gt;=IF($L120="",1,$L120),Q$4&lt;=IF($M120="",12,$M120)),$O120,0)</f>
        <v>760</v>
      </c>
      <c r="R120" s="17" t="n">
        <f aca="false">IF(AND(R$4&gt;=IF($L120="",1,$L120),R$4&lt;=IF($M120="",12,$M120)),$O120,0)</f>
        <v>760</v>
      </c>
      <c r="S120" s="17" t="n">
        <f aca="false">IF(AND(S$4&gt;=IF($L120="",1,$L120),S$4&lt;=IF($M120="",12,$M120)),$O120,0)</f>
        <v>760</v>
      </c>
      <c r="T120" s="17" t="n">
        <f aca="false">IF(AND(T$4&gt;=IF($L120="",1,$L120),T$4&lt;=IF($M120="",12,$M120)),$O120,0)</f>
        <v>760</v>
      </c>
      <c r="U120" s="17" t="n">
        <f aca="false">IF(AND(U$4&gt;=IF($L120="",1,$L120),U$4&lt;=IF($M120="",12,$M120)),$O120,0)</f>
        <v>760</v>
      </c>
      <c r="V120" s="17" t="n">
        <f aca="false">IF(AND(V$4&gt;=IF($L120="",1,$L120),V$4&lt;=IF($M120="",12,$M120)),$O120,0)</f>
        <v>760</v>
      </c>
      <c r="W120" s="17" t="n">
        <f aca="false">IF(AND(W$4&gt;=IF($L120="",1,$L120),W$4&lt;=IF($M120="",12,$M120)),$O120,0)</f>
        <v>760</v>
      </c>
      <c r="X120" s="17" t="n">
        <f aca="false">IF(AND(X$4&gt;=IF($L120="",1,$L120),X$4&lt;=IF($M120="",12,$M120)),$O120,0)</f>
        <v>760</v>
      </c>
      <c r="Y120" s="17" t="n">
        <f aca="false">IF(AND(Y$4&gt;=IF($L120="",1,$L120),Y$4&lt;=IF($M120="",12,$M120)),$O120,0)</f>
        <v>760</v>
      </c>
      <c r="Z120" s="17" t="n">
        <f aca="false">IF(AND(Z$4&gt;=IF($L120="",1,$L120),Z$4&lt;=IF($M120="",12,$M120)),$O120,0)</f>
        <v>760</v>
      </c>
      <c r="AA120" s="17" t="n">
        <f aca="false">IF(AND(AA$4&gt;=IF($L120="",1,$L120),AA$4&lt;=IF($M120="",12,$M120)),$O120,0)</f>
        <v>760</v>
      </c>
      <c r="AB120" s="18" t="n">
        <f aca="false">SUM(P120:AA120)</f>
        <v>9120</v>
      </c>
    </row>
    <row r="121" customFormat="false" ht="15" hidden="false" customHeight="false" outlineLevel="0" collapsed="false">
      <c r="A121" s="42" t="s">
        <v>374</v>
      </c>
      <c r="B121" s="25" t="s">
        <v>68</v>
      </c>
      <c r="C121" s="43" t="s">
        <v>260</v>
      </c>
      <c r="D121" s="48" t="s">
        <v>261</v>
      </c>
      <c r="E121" s="45" t="n">
        <v>1</v>
      </c>
      <c r="F121" s="40"/>
      <c r="G121" s="46" t="n">
        <f aca="false">IFERROR(IF($F121&gt;0,MAX(0,INDEX('XERO ACTUALS'!$T$5:$T$132,MATCH($A121,'XERO ACTUALS'!$A$5:$A$132,0))-$F121),INDEX('XERO ACTUALS'!$T$5:$T$132,MATCH($A121,'XERO ACTUALS'!$A$5:$A$132,0)))*IF($E121="",1,$E121),"")</f>
        <v>679.05</v>
      </c>
      <c r="H121" s="40"/>
      <c r="I121" s="26" t="s">
        <v>254</v>
      </c>
      <c r="J121" s="32"/>
      <c r="K121" s="27" t="n">
        <v>0</v>
      </c>
      <c r="L121" s="26" t="n">
        <v>1</v>
      </c>
      <c r="M121" s="26" t="n">
        <v>12</v>
      </c>
      <c r="N121" s="47" t="s">
        <v>255</v>
      </c>
      <c r="O121" s="18" t="n">
        <f aca="false">IF($N121="N",0,IF($A121="",0,(IF($J121&lt;&gt;"",$J121,IF($I121="BUDGET",IF($H121="",0,$H121),IF($G121="",0,$G121))))*(1+IF($K121="",0,$K121))))</f>
        <v>679.05</v>
      </c>
      <c r="P121" s="17" t="n">
        <f aca="false">IF(AND(P$4&gt;=IF($L121="",1,$L121),P$4&lt;=IF($M121="",12,$M121)),$O121,0)</f>
        <v>679.05</v>
      </c>
      <c r="Q121" s="17" t="n">
        <f aca="false">IF(AND(Q$4&gt;=IF($L121="",1,$L121),Q$4&lt;=IF($M121="",12,$M121)),$O121,0)</f>
        <v>679.05</v>
      </c>
      <c r="R121" s="17" t="n">
        <f aca="false">IF(AND(R$4&gt;=IF($L121="",1,$L121),R$4&lt;=IF($M121="",12,$M121)),$O121,0)</f>
        <v>679.05</v>
      </c>
      <c r="S121" s="17" t="n">
        <f aca="false">IF(AND(S$4&gt;=IF($L121="",1,$L121),S$4&lt;=IF($M121="",12,$M121)),$O121,0)</f>
        <v>679.05</v>
      </c>
      <c r="T121" s="17" t="n">
        <f aca="false">IF(AND(T$4&gt;=IF($L121="",1,$L121),T$4&lt;=IF($M121="",12,$M121)),$O121,0)</f>
        <v>679.05</v>
      </c>
      <c r="U121" s="17" t="n">
        <f aca="false">IF(AND(U$4&gt;=IF($L121="",1,$L121),U$4&lt;=IF($M121="",12,$M121)),$O121,0)</f>
        <v>679.05</v>
      </c>
      <c r="V121" s="17" t="n">
        <f aca="false">IF(AND(V$4&gt;=IF($L121="",1,$L121),V$4&lt;=IF($M121="",12,$M121)),$O121,0)</f>
        <v>679.05</v>
      </c>
      <c r="W121" s="17" t="n">
        <f aca="false">IF(AND(W$4&gt;=IF($L121="",1,$L121),W$4&lt;=IF($M121="",12,$M121)),$O121,0)</f>
        <v>679.05</v>
      </c>
      <c r="X121" s="17" t="n">
        <f aca="false">IF(AND(X$4&gt;=IF($L121="",1,$L121),X$4&lt;=IF($M121="",12,$M121)),$O121,0)</f>
        <v>679.05</v>
      </c>
      <c r="Y121" s="17" t="n">
        <f aca="false">IF(AND(Y$4&gt;=IF($L121="",1,$L121),Y$4&lt;=IF($M121="",12,$M121)),$O121,0)</f>
        <v>679.05</v>
      </c>
      <c r="Z121" s="17" t="n">
        <f aca="false">IF(AND(Z$4&gt;=IF($L121="",1,$L121),Z$4&lt;=IF($M121="",12,$M121)),$O121,0)</f>
        <v>679.05</v>
      </c>
      <c r="AA121" s="17" t="n">
        <f aca="false">IF(AND(AA$4&gt;=IF($L121="",1,$L121),AA$4&lt;=IF($M121="",12,$M121)),$O121,0)</f>
        <v>679.05</v>
      </c>
      <c r="AB121" s="18" t="n">
        <f aca="false">SUM(P121:AA121)</f>
        <v>8148.6</v>
      </c>
    </row>
    <row r="122" customFormat="false" ht="15" hidden="false" customHeight="false" outlineLevel="0" collapsed="false">
      <c r="A122" s="42" t="s">
        <v>375</v>
      </c>
      <c r="B122" s="25" t="s">
        <v>68</v>
      </c>
      <c r="C122" s="43" t="s">
        <v>252</v>
      </c>
      <c r="D122" s="49" t="s">
        <v>278</v>
      </c>
      <c r="E122" s="45" t="n">
        <v>1</v>
      </c>
      <c r="F122" s="40"/>
      <c r="G122" s="46" t="n">
        <f aca="false">IFERROR(IF($F122&gt;0,MAX(0,INDEX('XERO ACTUALS'!$T$5:$T$132,MATCH($A122,'XERO ACTUALS'!$A$5:$A$132,0))-$F122),INDEX('XERO ACTUALS'!$T$5:$T$132,MATCH($A122,'XERO ACTUALS'!$A$5:$A$132,0)))*IF($E122="",1,$E122),"")</f>
        <v>416.666666666667</v>
      </c>
      <c r="H122" s="40" t="n">
        <v>368.75</v>
      </c>
      <c r="I122" s="26" t="s">
        <v>254</v>
      </c>
      <c r="J122" s="32"/>
      <c r="K122" s="27" t="n">
        <v>0</v>
      </c>
      <c r="L122" s="26" t="n">
        <v>1</v>
      </c>
      <c r="M122" s="26" t="n">
        <v>12</v>
      </c>
      <c r="N122" s="47" t="s">
        <v>255</v>
      </c>
      <c r="O122" s="18" t="n">
        <f aca="false">IF($N122="N",0,IF($A122="",0,(IF($J122&lt;&gt;"",$J122,IF($I122="BUDGET",IF($H122="",0,$H122),IF($G122="",0,$G122))))*(1+IF($K122="",0,$K122))))</f>
        <v>416.666666666667</v>
      </c>
      <c r="P122" s="17" t="n">
        <f aca="false">IF(AND(P$4&gt;=IF($L122="",1,$L122),P$4&lt;=IF($M122="",12,$M122)),$O122,0)</f>
        <v>416.666666666667</v>
      </c>
      <c r="Q122" s="17" t="n">
        <f aca="false">IF(AND(Q$4&gt;=IF($L122="",1,$L122),Q$4&lt;=IF($M122="",12,$M122)),$O122,0)</f>
        <v>416.666666666667</v>
      </c>
      <c r="R122" s="17" t="n">
        <f aca="false">IF(AND(R$4&gt;=IF($L122="",1,$L122),R$4&lt;=IF($M122="",12,$M122)),$O122,0)</f>
        <v>416.666666666667</v>
      </c>
      <c r="S122" s="17" t="n">
        <f aca="false">IF(AND(S$4&gt;=IF($L122="",1,$L122),S$4&lt;=IF($M122="",12,$M122)),$O122,0)</f>
        <v>416.666666666667</v>
      </c>
      <c r="T122" s="17" t="n">
        <f aca="false">IF(AND(T$4&gt;=IF($L122="",1,$L122),T$4&lt;=IF($M122="",12,$M122)),$O122,0)</f>
        <v>416.666666666667</v>
      </c>
      <c r="U122" s="17" t="n">
        <f aca="false">IF(AND(U$4&gt;=IF($L122="",1,$L122),U$4&lt;=IF($M122="",12,$M122)),$O122,0)</f>
        <v>416.666666666667</v>
      </c>
      <c r="V122" s="17" t="n">
        <f aca="false">IF(AND(V$4&gt;=IF($L122="",1,$L122),V$4&lt;=IF($M122="",12,$M122)),$O122,0)</f>
        <v>416.666666666667</v>
      </c>
      <c r="W122" s="17" t="n">
        <f aca="false">IF(AND(W$4&gt;=IF($L122="",1,$L122),W$4&lt;=IF($M122="",12,$M122)),$O122,0)</f>
        <v>416.666666666667</v>
      </c>
      <c r="X122" s="17" t="n">
        <f aca="false">IF(AND(X$4&gt;=IF($L122="",1,$L122),X$4&lt;=IF($M122="",12,$M122)),$O122,0)</f>
        <v>416.666666666667</v>
      </c>
      <c r="Y122" s="17" t="n">
        <f aca="false">IF(AND(Y$4&gt;=IF($L122="",1,$L122),Y$4&lt;=IF($M122="",12,$M122)),$O122,0)</f>
        <v>416.666666666667</v>
      </c>
      <c r="Z122" s="17" t="n">
        <f aca="false">IF(AND(Z$4&gt;=IF($L122="",1,$L122),Z$4&lt;=IF($M122="",12,$M122)),$O122,0)</f>
        <v>416.666666666667</v>
      </c>
      <c r="AA122" s="17" t="n">
        <f aca="false">IF(AND(AA$4&gt;=IF($L122="",1,$L122),AA$4&lt;=IF($M122="",12,$M122)),$O122,0)</f>
        <v>416.666666666667</v>
      </c>
      <c r="AB122" s="18" t="n">
        <f aca="false">SUM(P122:AA122)</f>
        <v>5000</v>
      </c>
    </row>
    <row r="123" customFormat="false" ht="15" hidden="false" customHeight="false" outlineLevel="0" collapsed="false">
      <c r="A123" s="42" t="s">
        <v>376</v>
      </c>
      <c r="B123" s="25" t="s">
        <v>68</v>
      </c>
      <c r="C123" s="43" t="s">
        <v>252</v>
      </c>
      <c r="D123" s="44" t="s">
        <v>253</v>
      </c>
      <c r="E123" s="45" t="n">
        <v>1</v>
      </c>
      <c r="F123" s="40"/>
      <c r="G123" s="46" t="n">
        <f aca="false">IFERROR(IF($F123&gt;0,MAX(0,INDEX('XERO ACTUALS'!$T$5:$T$132,MATCH($A123,'XERO ACTUALS'!$A$5:$A$132,0))-$F123),INDEX('XERO ACTUALS'!$T$5:$T$132,MATCH($A123,'XERO ACTUALS'!$A$5:$A$132,0)))*IF($E123="",1,$E123),"")</f>
        <v>225.333333333333</v>
      </c>
      <c r="H123" s="40" t="n">
        <v>92</v>
      </c>
      <c r="I123" s="26" t="s">
        <v>254</v>
      </c>
      <c r="J123" s="32"/>
      <c r="K123" s="27" t="n">
        <v>0</v>
      </c>
      <c r="L123" s="26" t="n">
        <v>1</v>
      </c>
      <c r="M123" s="26" t="n">
        <v>12</v>
      </c>
      <c r="N123" s="47" t="s">
        <v>255</v>
      </c>
      <c r="O123" s="18" t="n">
        <f aca="false">IF($N123="N",0,IF($A123="",0,(IF($J123&lt;&gt;"",$J123,IF($I123="BUDGET",IF($H123="",0,$H123),IF($G123="",0,$G123))))*(1+IF($K123="",0,$K123))))</f>
        <v>225.333333333333</v>
      </c>
      <c r="P123" s="17" t="n">
        <f aca="false">IF(AND(P$4&gt;=IF($L123="",1,$L123),P$4&lt;=IF($M123="",12,$M123)),$O123,0)</f>
        <v>225.333333333333</v>
      </c>
      <c r="Q123" s="17" t="n">
        <f aca="false">IF(AND(Q$4&gt;=IF($L123="",1,$L123),Q$4&lt;=IF($M123="",12,$M123)),$O123,0)</f>
        <v>225.333333333333</v>
      </c>
      <c r="R123" s="17" t="n">
        <f aca="false">IF(AND(R$4&gt;=IF($L123="",1,$L123),R$4&lt;=IF($M123="",12,$M123)),$O123,0)</f>
        <v>225.333333333333</v>
      </c>
      <c r="S123" s="17" t="n">
        <f aca="false">IF(AND(S$4&gt;=IF($L123="",1,$L123),S$4&lt;=IF($M123="",12,$M123)),$O123,0)</f>
        <v>225.333333333333</v>
      </c>
      <c r="T123" s="17" t="n">
        <f aca="false">IF(AND(T$4&gt;=IF($L123="",1,$L123),T$4&lt;=IF($M123="",12,$M123)),$O123,0)</f>
        <v>225.333333333333</v>
      </c>
      <c r="U123" s="17" t="n">
        <f aca="false">IF(AND(U$4&gt;=IF($L123="",1,$L123),U$4&lt;=IF($M123="",12,$M123)),$O123,0)</f>
        <v>225.333333333333</v>
      </c>
      <c r="V123" s="17" t="n">
        <f aca="false">IF(AND(V$4&gt;=IF($L123="",1,$L123),V$4&lt;=IF($M123="",12,$M123)),$O123,0)</f>
        <v>225.333333333333</v>
      </c>
      <c r="W123" s="17" t="n">
        <f aca="false">IF(AND(W$4&gt;=IF($L123="",1,$L123),W$4&lt;=IF($M123="",12,$M123)),$O123,0)</f>
        <v>225.333333333333</v>
      </c>
      <c r="X123" s="17" t="n">
        <f aca="false">IF(AND(X$4&gt;=IF($L123="",1,$L123),X$4&lt;=IF($M123="",12,$M123)),$O123,0)</f>
        <v>225.333333333333</v>
      </c>
      <c r="Y123" s="17" t="n">
        <f aca="false">IF(AND(Y$4&gt;=IF($L123="",1,$L123),Y$4&lt;=IF($M123="",12,$M123)),$O123,0)</f>
        <v>225.333333333333</v>
      </c>
      <c r="Z123" s="17" t="n">
        <f aca="false">IF(AND(Z$4&gt;=IF($L123="",1,$L123),Z$4&lt;=IF($M123="",12,$M123)),$O123,0)</f>
        <v>225.333333333333</v>
      </c>
      <c r="AA123" s="17" t="n">
        <f aca="false">IF(AND(AA$4&gt;=IF($L123="",1,$L123),AA$4&lt;=IF($M123="",12,$M123)),$O123,0)</f>
        <v>225.333333333333</v>
      </c>
      <c r="AB123" s="18" t="n">
        <f aca="false">SUM(P123:AA123)</f>
        <v>2704</v>
      </c>
    </row>
    <row r="124" customFormat="false" ht="15" hidden="false" customHeight="false" outlineLevel="0" collapsed="false">
      <c r="A124" s="16" t="s">
        <v>377</v>
      </c>
      <c r="B124" s="25" t="s">
        <v>68</v>
      </c>
      <c r="C124" s="43" t="s">
        <v>264</v>
      </c>
      <c r="D124" s="44" t="s">
        <v>265</v>
      </c>
      <c r="E124" s="45"/>
      <c r="F124" s="40"/>
      <c r="G124" s="46"/>
      <c r="H124" s="40" t="n">
        <v>212.5</v>
      </c>
      <c r="I124" s="26" t="s">
        <v>266</v>
      </c>
      <c r="J124" s="32"/>
      <c r="K124" s="27" t="n">
        <v>0</v>
      </c>
      <c r="L124" s="26" t="n">
        <v>1</v>
      </c>
      <c r="M124" s="26" t="n">
        <v>12</v>
      </c>
      <c r="N124" s="47" t="s">
        <v>267</v>
      </c>
      <c r="O124" s="18" t="n">
        <f aca="false">IF($N124="N",0,IF($A124="",0,(IF($J124&lt;&gt;"",$J124,IF($I124="BUDGET",IF($H124="",0,$H124),IF($G124="",0,$G124))))*(1+IF($K124="",0,$K124))))</f>
        <v>0</v>
      </c>
      <c r="P124" s="17" t="n">
        <f aca="false">IF(AND(P$4&gt;=IF($L124="",1,$L124),P$4&lt;=IF($M124="",12,$M124)),$O124,0)</f>
        <v>0</v>
      </c>
      <c r="Q124" s="17" t="n">
        <f aca="false">IF(AND(Q$4&gt;=IF($L124="",1,$L124),Q$4&lt;=IF($M124="",12,$M124)),$O124,0)</f>
        <v>0</v>
      </c>
      <c r="R124" s="17" t="n">
        <f aca="false">IF(AND(R$4&gt;=IF($L124="",1,$L124),R$4&lt;=IF($M124="",12,$M124)),$O124,0)</f>
        <v>0</v>
      </c>
      <c r="S124" s="17" t="n">
        <f aca="false">IF(AND(S$4&gt;=IF($L124="",1,$L124),S$4&lt;=IF($M124="",12,$M124)),$O124,0)</f>
        <v>0</v>
      </c>
      <c r="T124" s="17" t="n">
        <f aca="false">IF(AND(T$4&gt;=IF($L124="",1,$L124),T$4&lt;=IF($M124="",12,$M124)),$O124,0)</f>
        <v>0</v>
      </c>
      <c r="U124" s="17" t="n">
        <f aca="false">IF(AND(U$4&gt;=IF($L124="",1,$L124),U$4&lt;=IF($M124="",12,$M124)),$O124,0)</f>
        <v>0</v>
      </c>
      <c r="V124" s="17" t="n">
        <f aca="false">IF(AND(V$4&gt;=IF($L124="",1,$L124),V$4&lt;=IF($M124="",12,$M124)),$O124,0)</f>
        <v>0</v>
      </c>
      <c r="W124" s="17" t="n">
        <f aca="false">IF(AND(W$4&gt;=IF($L124="",1,$L124),W$4&lt;=IF($M124="",12,$M124)),$O124,0)</f>
        <v>0</v>
      </c>
      <c r="X124" s="17" t="n">
        <f aca="false">IF(AND(X$4&gt;=IF($L124="",1,$L124),X$4&lt;=IF($M124="",12,$M124)),$O124,0)</f>
        <v>0</v>
      </c>
      <c r="Y124" s="17" t="n">
        <f aca="false">IF(AND(Y$4&gt;=IF($L124="",1,$L124),Y$4&lt;=IF($M124="",12,$M124)),$O124,0)</f>
        <v>0</v>
      </c>
      <c r="Z124" s="17" t="n">
        <f aca="false">IF(AND(Z$4&gt;=IF($L124="",1,$L124),Z$4&lt;=IF($M124="",12,$M124)),$O124,0)</f>
        <v>0</v>
      </c>
      <c r="AA124" s="17" t="n">
        <f aca="false">IF(AND(AA$4&gt;=IF($L124="",1,$L124),AA$4&lt;=IF($M124="",12,$M124)),$O124,0)</f>
        <v>0</v>
      </c>
      <c r="AB124" s="18" t="n">
        <f aca="false">SUM(P124:AA124)</f>
        <v>0</v>
      </c>
    </row>
    <row r="125" customFormat="false" ht="15" hidden="false" customHeight="false" outlineLevel="0" collapsed="false">
      <c r="A125" s="42" t="s">
        <v>378</v>
      </c>
      <c r="B125" s="25" t="s">
        <v>68</v>
      </c>
      <c r="C125" s="43" t="s">
        <v>252</v>
      </c>
      <c r="D125" s="51" t="s">
        <v>291</v>
      </c>
      <c r="E125" s="45" t="n">
        <v>1</v>
      </c>
      <c r="F125" s="40"/>
      <c r="G125" s="46" t="n">
        <f aca="false">IFERROR(IF($F125&gt;0,MAX(0,INDEX('XERO ACTUALS'!$T$5:$T$132,MATCH($A125,'XERO ACTUALS'!$A$5:$A$132,0))-$F125),INDEX('XERO ACTUALS'!$T$5:$T$132,MATCH($A125,'XERO ACTUALS'!$A$5:$A$132,0)))*IF($E125="",1,$E125),"")</f>
        <v>188.871232448485</v>
      </c>
      <c r="H125" s="40" t="n">
        <v>243.15</v>
      </c>
      <c r="I125" s="26" t="s">
        <v>254</v>
      </c>
      <c r="J125" s="32"/>
      <c r="K125" s="27" t="n">
        <v>0</v>
      </c>
      <c r="L125" s="26" t="n">
        <v>1</v>
      </c>
      <c r="M125" s="26" t="n">
        <v>12</v>
      </c>
      <c r="N125" s="47" t="s">
        <v>255</v>
      </c>
      <c r="O125" s="18" t="n">
        <f aca="false">IF($N125="N",0,IF($A125="",0,(IF($J125&lt;&gt;"",$J125,IF($I125="BUDGET",IF($H125="",0,$H125),IF($G125="",0,$G125))))*(1+IF($K125="",0,$K125))))</f>
        <v>188.871232448485</v>
      </c>
      <c r="P125" s="17" t="n">
        <f aca="false">IF(AND(P$4&gt;=IF($L125="",1,$L125),P$4&lt;=IF($M125="",12,$M125)),$O125,0)</f>
        <v>188.871232448485</v>
      </c>
      <c r="Q125" s="17" t="n">
        <f aca="false">IF(AND(Q$4&gt;=IF($L125="",1,$L125),Q$4&lt;=IF($M125="",12,$M125)),$O125,0)</f>
        <v>188.871232448485</v>
      </c>
      <c r="R125" s="17" t="n">
        <f aca="false">IF(AND(R$4&gt;=IF($L125="",1,$L125),R$4&lt;=IF($M125="",12,$M125)),$O125,0)</f>
        <v>188.871232448485</v>
      </c>
      <c r="S125" s="17" t="n">
        <f aca="false">IF(AND(S$4&gt;=IF($L125="",1,$L125),S$4&lt;=IF($M125="",12,$M125)),$O125,0)</f>
        <v>188.871232448485</v>
      </c>
      <c r="T125" s="17" t="n">
        <f aca="false">IF(AND(T$4&gt;=IF($L125="",1,$L125),T$4&lt;=IF($M125="",12,$M125)),$O125,0)</f>
        <v>188.871232448485</v>
      </c>
      <c r="U125" s="17" t="n">
        <f aca="false">IF(AND(U$4&gt;=IF($L125="",1,$L125),U$4&lt;=IF($M125="",12,$M125)),$O125,0)</f>
        <v>188.871232448485</v>
      </c>
      <c r="V125" s="17" t="n">
        <f aca="false">IF(AND(V$4&gt;=IF($L125="",1,$L125),V$4&lt;=IF($M125="",12,$M125)),$O125,0)</f>
        <v>188.871232448485</v>
      </c>
      <c r="W125" s="17" t="n">
        <f aca="false">IF(AND(W$4&gt;=IF($L125="",1,$L125),W$4&lt;=IF($M125="",12,$M125)),$O125,0)</f>
        <v>188.871232448485</v>
      </c>
      <c r="X125" s="17" t="n">
        <f aca="false">IF(AND(X$4&gt;=IF($L125="",1,$L125),X$4&lt;=IF($M125="",12,$M125)),$O125,0)</f>
        <v>188.871232448485</v>
      </c>
      <c r="Y125" s="17" t="n">
        <f aca="false">IF(AND(Y$4&gt;=IF($L125="",1,$L125),Y$4&lt;=IF($M125="",12,$M125)),$O125,0)</f>
        <v>188.871232448485</v>
      </c>
      <c r="Z125" s="17" t="n">
        <f aca="false">IF(AND(Z$4&gt;=IF($L125="",1,$L125),Z$4&lt;=IF($M125="",12,$M125)),$O125,0)</f>
        <v>188.871232448485</v>
      </c>
      <c r="AA125" s="17" t="n">
        <f aca="false">IF(AND(AA$4&gt;=IF($L125="",1,$L125),AA$4&lt;=IF($M125="",12,$M125)),$O125,0)</f>
        <v>188.871232448485</v>
      </c>
      <c r="AB125" s="18" t="n">
        <f aca="false">SUM(P125:AA125)</f>
        <v>2266.45478938182</v>
      </c>
    </row>
    <row r="126" customFormat="false" ht="15" hidden="false" customHeight="false" outlineLevel="0" collapsed="false">
      <c r="A126" s="42" t="s">
        <v>379</v>
      </c>
      <c r="B126" s="25" t="s">
        <v>68</v>
      </c>
      <c r="C126" s="43" t="s">
        <v>252</v>
      </c>
      <c r="D126" s="44" t="s">
        <v>253</v>
      </c>
      <c r="E126" s="45" t="n">
        <v>1</v>
      </c>
      <c r="F126" s="40"/>
      <c r="G126" s="46" t="n">
        <f aca="false">IFERROR(IF($F126&gt;0,MAX(0,INDEX('XERO ACTUALS'!$T$5:$T$132,MATCH($A126,'XERO ACTUALS'!$A$5:$A$132,0))-$F126),INDEX('XERO ACTUALS'!$T$5:$T$132,MATCH($A126,'XERO ACTUALS'!$A$5:$A$132,0)))*IF($E126="",1,$E126),"")</f>
        <v>110.886666666667</v>
      </c>
      <c r="H126" s="40" t="n">
        <v>89.69</v>
      </c>
      <c r="I126" s="26" t="s">
        <v>254</v>
      </c>
      <c r="J126" s="32"/>
      <c r="K126" s="27" t="n">
        <v>0</v>
      </c>
      <c r="L126" s="26" t="n">
        <v>1</v>
      </c>
      <c r="M126" s="26" t="n">
        <v>12</v>
      </c>
      <c r="N126" s="47" t="s">
        <v>255</v>
      </c>
      <c r="O126" s="18" t="n">
        <f aca="false">IF($N126="N",0,IF($A126="",0,(IF($J126&lt;&gt;"",$J126,IF($I126="BUDGET",IF($H126="",0,$H126),IF($G126="",0,$G126))))*(1+IF($K126="",0,$K126))))</f>
        <v>110.886666666667</v>
      </c>
      <c r="P126" s="17" t="n">
        <f aca="false">IF(AND(P$4&gt;=IF($L126="",1,$L126),P$4&lt;=IF($M126="",12,$M126)),$O126,0)</f>
        <v>110.886666666667</v>
      </c>
      <c r="Q126" s="17" t="n">
        <f aca="false">IF(AND(Q$4&gt;=IF($L126="",1,$L126),Q$4&lt;=IF($M126="",12,$M126)),$O126,0)</f>
        <v>110.886666666667</v>
      </c>
      <c r="R126" s="17" t="n">
        <f aca="false">IF(AND(R$4&gt;=IF($L126="",1,$L126),R$4&lt;=IF($M126="",12,$M126)),$O126,0)</f>
        <v>110.886666666667</v>
      </c>
      <c r="S126" s="17" t="n">
        <f aca="false">IF(AND(S$4&gt;=IF($L126="",1,$L126),S$4&lt;=IF($M126="",12,$M126)),$O126,0)</f>
        <v>110.886666666667</v>
      </c>
      <c r="T126" s="17" t="n">
        <f aca="false">IF(AND(T$4&gt;=IF($L126="",1,$L126),T$4&lt;=IF($M126="",12,$M126)),$O126,0)</f>
        <v>110.886666666667</v>
      </c>
      <c r="U126" s="17" t="n">
        <f aca="false">IF(AND(U$4&gt;=IF($L126="",1,$L126),U$4&lt;=IF($M126="",12,$M126)),$O126,0)</f>
        <v>110.886666666667</v>
      </c>
      <c r="V126" s="17" t="n">
        <f aca="false">IF(AND(V$4&gt;=IF($L126="",1,$L126),V$4&lt;=IF($M126="",12,$M126)),$O126,0)</f>
        <v>110.886666666667</v>
      </c>
      <c r="W126" s="17" t="n">
        <f aca="false">IF(AND(W$4&gt;=IF($L126="",1,$L126),W$4&lt;=IF($M126="",12,$M126)),$O126,0)</f>
        <v>110.886666666667</v>
      </c>
      <c r="X126" s="17" t="n">
        <f aca="false">IF(AND(X$4&gt;=IF($L126="",1,$L126),X$4&lt;=IF($M126="",12,$M126)),$O126,0)</f>
        <v>110.886666666667</v>
      </c>
      <c r="Y126" s="17" t="n">
        <f aca="false">IF(AND(Y$4&gt;=IF($L126="",1,$L126),Y$4&lt;=IF($M126="",12,$M126)),$O126,0)</f>
        <v>110.886666666667</v>
      </c>
      <c r="Z126" s="17" t="n">
        <f aca="false">IF(AND(Z$4&gt;=IF($L126="",1,$L126),Z$4&lt;=IF($M126="",12,$M126)),$O126,0)</f>
        <v>110.886666666667</v>
      </c>
      <c r="AA126" s="17" t="n">
        <f aca="false">IF(AND(AA$4&gt;=IF($L126="",1,$L126),AA$4&lt;=IF($M126="",12,$M126)),$O126,0)</f>
        <v>110.886666666667</v>
      </c>
      <c r="AB126" s="18" t="n">
        <f aca="false">SUM(P126:AA126)</f>
        <v>1330.64</v>
      </c>
    </row>
    <row r="127" customFormat="false" ht="15" hidden="false" customHeight="false" outlineLevel="0" collapsed="false">
      <c r="A127" s="42" t="s">
        <v>380</v>
      </c>
      <c r="B127" s="25" t="s">
        <v>68</v>
      </c>
      <c r="C127" s="43" t="s">
        <v>252</v>
      </c>
      <c r="D127" s="44" t="s">
        <v>253</v>
      </c>
      <c r="E127" s="45" t="n">
        <v>1</v>
      </c>
      <c r="F127" s="40"/>
      <c r="G127" s="46" t="n">
        <f aca="false">IFERROR(IF($F127&gt;0,MAX(0,INDEX('XERO ACTUALS'!$T$5:$T$132,MATCH($A127,'XERO ACTUALS'!$A$5:$A$132,0))-$F127),INDEX('XERO ACTUALS'!$T$5:$T$132,MATCH($A127,'XERO ACTUALS'!$A$5:$A$132,0)))*IF($E127="",1,$E127),"")</f>
        <v>100</v>
      </c>
      <c r="H127" s="40" t="n">
        <v>100</v>
      </c>
      <c r="I127" s="26" t="s">
        <v>254</v>
      </c>
      <c r="J127" s="32"/>
      <c r="K127" s="27" t="n">
        <v>0</v>
      </c>
      <c r="L127" s="26" t="n">
        <v>1</v>
      </c>
      <c r="M127" s="26" t="n">
        <v>12</v>
      </c>
      <c r="N127" s="47" t="s">
        <v>255</v>
      </c>
      <c r="O127" s="18" t="n">
        <f aca="false">IF($N127="N",0,IF($A127="",0,(IF($J127&lt;&gt;"",$J127,IF($I127="BUDGET",IF($H127="",0,$H127),IF($G127="",0,$G127))))*(1+IF($K127="",0,$K127))))</f>
        <v>100</v>
      </c>
      <c r="P127" s="17" t="n">
        <f aca="false">IF(AND(P$4&gt;=IF($L127="",1,$L127),P$4&lt;=IF($M127="",12,$M127)),$O127,0)</f>
        <v>100</v>
      </c>
      <c r="Q127" s="17" t="n">
        <f aca="false">IF(AND(Q$4&gt;=IF($L127="",1,$L127),Q$4&lt;=IF($M127="",12,$M127)),$O127,0)</f>
        <v>100</v>
      </c>
      <c r="R127" s="17" t="n">
        <f aca="false">IF(AND(R$4&gt;=IF($L127="",1,$L127),R$4&lt;=IF($M127="",12,$M127)),$O127,0)</f>
        <v>100</v>
      </c>
      <c r="S127" s="17" t="n">
        <f aca="false">IF(AND(S$4&gt;=IF($L127="",1,$L127),S$4&lt;=IF($M127="",12,$M127)),$O127,0)</f>
        <v>100</v>
      </c>
      <c r="T127" s="17" t="n">
        <f aca="false">IF(AND(T$4&gt;=IF($L127="",1,$L127),T$4&lt;=IF($M127="",12,$M127)),$O127,0)</f>
        <v>100</v>
      </c>
      <c r="U127" s="17" t="n">
        <f aca="false">IF(AND(U$4&gt;=IF($L127="",1,$L127),U$4&lt;=IF($M127="",12,$M127)),$O127,0)</f>
        <v>100</v>
      </c>
      <c r="V127" s="17" t="n">
        <f aca="false">IF(AND(V$4&gt;=IF($L127="",1,$L127),V$4&lt;=IF($M127="",12,$M127)),$O127,0)</f>
        <v>100</v>
      </c>
      <c r="W127" s="17" t="n">
        <f aca="false">IF(AND(W$4&gt;=IF($L127="",1,$L127),W$4&lt;=IF($M127="",12,$M127)),$O127,0)</f>
        <v>100</v>
      </c>
      <c r="X127" s="17" t="n">
        <f aca="false">IF(AND(X$4&gt;=IF($L127="",1,$L127),X$4&lt;=IF($M127="",12,$M127)),$O127,0)</f>
        <v>100</v>
      </c>
      <c r="Y127" s="17" t="n">
        <f aca="false">IF(AND(Y$4&gt;=IF($L127="",1,$L127),Y$4&lt;=IF($M127="",12,$M127)),$O127,0)</f>
        <v>100</v>
      </c>
      <c r="Z127" s="17" t="n">
        <f aca="false">IF(AND(Z$4&gt;=IF($L127="",1,$L127),Z$4&lt;=IF($M127="",12,$M127)),$O127,0)</f>
        <v>100</v>
      </c>
      <c r="AA127" s="17" t="n">
        <f aca="false">IF(AND(AA$4&gt;=IF($L127="",1,$L127),AA$4&lt;=IF($M127="",12,$M127)),$O127,0)</f>
        <v>100</v>
      </c>
      <c r="AB127" s="18" t="n">
        <f aca="false">SUM(P127:AA127)</f>
        <v>1200</v>
      </c>
    </row>
    <row r="128" customFormat="false" ht="15" hidden="false" customHeight="false" outlineLevel="0" collapsed="false">
      <c r="A128" s="42" t="s">
        <v>381</v>
      </c>
      <c r="B128" s="25" t="s">
        <v>68</v>
      </c>
      <c r="C128" s="43" t="s">
        <v>252</v>
      </c>
      <c r="D128" s="44" t="s">
        <v>253</v>
      </c>
      <c r="E128" s="45" t="n">
        <v>1</v>
      </c>
      <c r="F128" s="40"/>
      <c r="G128" s="46" t="n">
        <f aca="false">IFERROR(IF($F128&gt;0,MAX(0,INDEX('XERO ACTUALS'!$T$5:$T$132,MATCH($A128,'XERO ACTUALS'!$A$5:$A$132,0))-$F128),INDEX('XERO ACTUALS'!$T$5:$T$132,MATCH($A128,'XERO ACTUALS'!$A$5:$A$132,0)))*IF($E128="",1,$E128),"")</f>
        <v>88</v>
      </c>
      <c r="H128" s="40" t="n">
        <v>88</v>
      </c>
      <c r="I128" s="26" t="s">
        <v>254</v>
      </c>
      <c r="J128" s="32"/>
      <c r="K128" s="27" t="n">
        <v>0</v>
      </c>
      <c r="L128" s="26" t="n">
        <v>1</v>
      </c>
      <c r="M128" s="26" t="n">
        <v>12</v>
      </c>
      <c r="N128" s="47" t="s">
        <v>255</v>
      </c>
      <c r="O128" s="18" t="n">
        <f aca="false">IF($N128="N",0,IF($A128="",0,(IF($J128&lt;&gt;"",$J128,IF($I128="BUDGET",IF($H128="",0,$H128),IF($G128="",0,$G128))))*(1+IF($K128="",0,$K128))))</f>
        <v>88</v>
      </c>
      <c r="P128" s="17" t="n">
        <f aca="false">IF(AND(P$4&gt;=IF($L128="",1,$L128),P$4&lt;=IF($M128="",12,$M128)),$O128,0)</f>
        <v>88</v>
      </c>
      <c r="Q128" s="17" t="n">
        <f aca="false">IF(AND(Q$4&gt;=IF($L128="",1,$L128),Q$4&lt;=IF($M128="",12,$M128)),$O128,0)</f>
        <v>88</v>
      </c>
      <c r="R128" s="17" t="n">
        <f aca="false">IF(AND(R$4&gt;=IF($L128="",1,$L128),R$4&lt;=IF($M128="",12,$M128)),$O128,0)</f>
        <v>88</v>
      </c>
      <c r="S128" s="17" t="n">
        <f aca="false">IF(AND(S$4&gt;=IF($L128="",1,$L128),S$4&lt;=IF($M128="",12,$M128)),$O128,0)</f>
        <v>88</v>
      </c>
      <c r="T128" s="17" t="n">
        <f aca="false">IF(AND(T$4&gt;=IF($L128="",1,$L128),T$4&lt;=IF($M128="",12,$M128)),$O128,0)</f>
        <v>88</v>
      </c>
      <c r="U128" s="17" t="n">
        <f aca="false">IF(AND(U$4&gt;=IF($L128="",1,$L128),U$4&lt;=IF($M128="",12,$M128)),$O128,0)</f>
        <v>88</v>
      </c>
      <c r="V128" s="17" t="n">
        <f aca="false">IF(AND(V$4&gt;=IF($L128="",1,$L128),V$4&lt;=IF($M128="",12,$M128)),$O128,0)</f>
        <v>88</v>
      </c>
      <c r="W128" s="17" t="n">
        <f aca="false">IF(AND(W$4&gt;=IF($L128="",1,$L128),W$4&lt;=IF($M128="",12,$M128)),$O128,0)</f>
        <v>88</v>
      </c>
      <c r="X128" s="17" t="n">
        <f aca="false">IF(AND(X$4&gt;=IF($L128="",1,$L128),X$4&lt;=IF($M128="",12,$M128)),$O128,0)</f>
        <v>88</v>
      </c>
      <c r="Y128" s="17" t="n">
        <f aca="false">IF(AND(Y$4&gt;=IF($L128="",1,$L128),Y$4&lt;=IF($M128="",12,$M128)),$O128,0)</f>
        <v>88</v>
      </c>
      <c r="Z128" s="17" t="n">
        <f aca="false">IF(AND(Z$4&gt;=IF($L128="",1,$L128),Z$4&lt;=IF($M128="",12,$M128)),$O128,0)</f>
        <v>88</v>
      </c>
      <c r="AA128" s="17" t="n">
        <f aca="false">IF(AND(AA$4&gt;=IF($L128="",1,$L128),AA$4&lt;=IF($M128="",12,$M128)),$O128,0)</f>
        <v>88</v>
      </c>
      <c r="AB128" s="18" t="n">
        <f aca="false">SUM(P128:AA128)</f>
        <v>1056</v>
      </c>
    </row>
    <row r="129" customFormat="false" ht="15" hidden="false" customHeight="false" outlineLevel="0" collapsed="false">
      <c r="A129" s="42" t="s">
        <v>382</v>
      </c>
      <c r="B129" s="25" t="s">
        <v>68</v>
      </c>
      <c r="C129" s="43" t="s">
        <v>260</v>
      </c>
      <c r="D129" s="48" t="s">
        <v>261</v>
      </c>
      <c r="E129" s="45" t="n">
        <v>1</v>
      </c>
      <c r="F129" s="40"/>
      <c r="G129" s="46" t="n">
        <f aca="false">IFERROR(IF($F129&gt;0,MAX(0,INDEX('XERO ACTUALS'!$T$5:$T$132,MATCH($A129,'XERO ACTUALS'!$A$5:$A$132,0))-$F129),INDEX('XERO ACTUALS'!$T$5:$T$132,MATCH($A129,'XERO ACTUALS'!$A$5:$A$132,0)))*IF($E129="",1,$E129),"")</f>
        <v>77.4</v>
      </c>
      <c r="H129" s="40"/>
      <c r="I129" s="26" t="s">
        <v>254</v>
      </c>
      <c r="J129" s="32"/>
      <c r="K129" s="27" t="n">
        <v>0</v>
      </c>
      <c r="L129" s="26" t="n">
        <v>1</v>
      </c>
      <c r="M129" s="26" t="n">
        <v>12</v>
      </c>
      <c r="N129" s="47" t="s">
        <v>255</v>
      </c>
      <c r="O129" s="18" t="n">
        <f aca="false">IF($N129="N",0,IF($A129="",0,(IF($J129&lt;&gt;"",$J129,IF($I129="BUDGET",IF($H129="",0,$H129),IF($G129="",0,$G129))))*(1+IF($K129="",0,$K129))))</f>
        <v>77.4</v>
      </c>
      <c r="P129" s="17" t="n">
        <f aca="false">IF(AND(P$4&gt;=IF($L129="",1,$L129),P$4&lt;=IF($M129="",12,$M129)),$O129,0)</f>
        <v>77.4</v>
      </c>
      <c r="Q129" s="17" t="n">
        <f aca="false">IF(AND(Q$4&gt;=IF($L129="",1,$L129),Q$4&lt;=IF($M129="",12,$M129)),$O129,0)</f>
        <v>77.4</v>
      </c>
      <c r="R129" s="17" t="n">
        <f aca="false">IF(AND(R$4&gt;=IF($L129="",1,$L129),R$4&lt;=IF($M129="",12,$M129)),$O129,0)</f>
        <v>77.4</v>
      </c>
      <c r="S129" s="17" t="n">
        <f aca="false">IF(AND(S$4&gt;=IF($L129="",1,$L129),S$4&lt;=IF($M129="",12,$M129)),$O129,0)</f>
        <v>77.4</v>
      </c>
      <c r="T129" s="17" t="n">
        <f aca="false">IF(AND(T$4&gt;=IF($L129="",1,$L129),T$4&lt;=IF($M129="",12,$M129)),$O129,0)</f>
        <v>77.4</v>
      </c>
      <c r="U129" s="17" t="n">
        <f aca="false">IF(AND(U$4&gt;=IF($L129="",1,$L129),U$4&lt;=IF($M129="",12,$M129)),$O129,0)</f>
        <v>77.4</v>
      </c>
      <c r="V129" s="17" t="n">
        <f aca="false">IF(AND(V$4&gt;=IF($L129="",1,$L129),V$4&lt;=IF($M129="",12,$M129)),$O129,0)</f>
        <v>77.4</v>
      </c>
      <c r="W129" s="17" t="n">
        <f aca="false">IF(AND(W$4&gt;=IF($L129="",1,$L129),W$4&lt;=IF($M129="",12,$M129)),$O129,0)</f>
        <v>77.4</v>
      </c>
      <c r="X129" s="17" t="n">
        <f aca="false">IF(AND(X$4&gt;=IF($L129="",1,$L129),X$4&lt;=IF($M129="",12,$M129)),$O129,0)</f>
        <v>77.4</v>
      </c>
      <c r="Y129" s="17" t="n">
        <f aca="false">IF(AND(Y$4&gt;=IF($L129="",1,$L129),Y$4&lt;=IF($M129="",12,$M129)),$O129,0)</f>
        <v>77.4</v>
      </c>
      <c r="Z129" s="17" t="n">
        <f aca="false">IF(AND(Z$4&gt;=IF($L129="",1,$L129),Z$4&lt;=IF($M129="",12,$M129)),$O129,0)</f>
        <v>77.4</v>
      </c>
      <c r="AA129" s="17" t="n">
        <f aca="false">IF(AND(AA$4&gt;=IF($L129="",1,$L129),AA$4&lt;=IF($M129="",12,$M129)),$O129,0)</f>
        <v>77.4</v>
      </c>
      <c r="AB129" s="18" t="n">
        <f aca="false">SUM(P129:AA129)</f>
        <v>928.8</v>
      </c>
    </row>
    <row r="130" customFormat="false" ht="15" hidden="false" customHeight="false" outlineLevel="0" collapsed="false">
      <c r="A130" s="42" t="s">
        <v>383</v>
      </c>
      <c r="B130" s="25" t="s">
        <v>68</v>
      </c>
      <c r="C130" s="43" t="s">
        <v>252</v>
      </c>
      <c r="D130" s="53" t="s">
        <v>384</v>
      </c>
      <c r="E130" s="45" t="n">
        <v>1</v>
      </c>
      <c r="F130" s="40"/>
      <c r="G130" s="46" t="n">
        <f aca="false">IFERROR(IF($F130&gt;0,MAX(0,INDEX('XERO ACTUALS'!$T$5:$T$132,MATCH($A130,'XERO ACTUALS'!$A$5:$A$132,0))-$F130),INDEX('XERO ACTUALS'!$T$5:$T$132,MATCH($A130,'XERO ACTUALS'!$A$5:$A$132,0)))*IF($E130="",1,$E130),"")</f>
        <v>72.8</v>
      </c>
      <c r="H130" s="40" t="n">
        <v>356</v>
      </c>
      <c r="I130" s="26" t="s">
        <v>254</v>
      </c>
      <c r="J130" s="32"/>
      <c r="K130" s="27" t="n">
        <v>0</v>
      </c>
      <c r="L130" s="26" t="n">
        <v>1</v>
      </c>
      <c r="M130" s="26" t="n">
        <v>12</v>
      </c>
      <c r="N130" s="47" t="s">
        <v>255</v>
      </c>
      <c r="O130" s="18" t="n">
        <f aca="false">IF($N130="N",0,IF($A130="",0,(IF($J130&lt;&gt;"",$J130,IF($I130="BUDGET",IF($H130="",0,$H130),IF($G130="",0,$G130))))*(1+IF($K130="",0,$K130))))</f>
        <v>72.8</v>
      </c>
      <c r="P130" s="17" t="n">
        <f aca="false">IF(AND(P$4&gt;=IF($L130="",1,$L130),P$4&lt;=IF($M130="",12,$M130)),$O130,0)</f>
        <v>72.8</v>
      </c>
      <c r="Q130" s="17" t="n">
        <f aca="false">IF(AND(Q$4&gt;=IF($L130="",1,$L130),Q$4&lt;=IF($M130="",12,$M130)),$O130,0)</f>
        <v>72.8</v>
      </c>
      <c r="R130" s="17" t="n">
        <f aca="false">IF(AND(R$4&gt;=IF($L130="",1,$L130),R$4&lt;=IF($M130="",12,$M130)),$O130,0)</f>
        <v>72.8</v>
      </c>
      <c r="S130" s="17" t="n">
        <f aca="false">IF(AND(S$4&gt;=IF($L130="",1,$L130),S$4&lt;=IF($M130="",12,$M130)),$O130,0)</f>
        <v>72.8</v>
      </c>
      <c r="T130" s="17" t="n">
        <f aca="false">IF(AND(T$4&gt;=IF($L130="",1,$L130),T$4&lt;=IF($M130="",12,$M130)),$O130,0)</f>
        <v>72.8</v>
      </c>
      <c r="U130" s="17" t="n">
        <f aca="false">IF(AND(U$4&gt;=IF($L130="",1,$L130),U$4&lt;=IF($M130="",12,$M130)),$O130,0)</f>
        <v>72.8</v>
      </c>
      <c r="V130" s="17" t="n">
        <f aca="false">IF(AND(V$4&gt;=IF($L130="",1,$L130),V$4&lt;=IF($M130="",12,$M130)),$O130,0)</f>
        <v>72.8</v>
      </c>
      <c r="W130" s="17" t="n">
        <f aca="false">IF(AND(W$4&gt;=IF($L130="",1,$L130),W$4&lt;=IF($M130="",12,$M130)),$O130,0)</f>
        <v>72.8</v>
      </c>
      <c r="X130" s="17" t="n">
        <f aca="false">IF(AND(X$4&gt;=IF($L130="",1,$L130),X$4&lt;=IF($M130="",12,$M130)),$O130,0)</f>
        <v>72.8</v>
      </c>
      <c r="Y130" s="17" t="n">
        <f aca="false">IF(AND(Y$4&gt;=IF($L130="",1,$L130),Y$4&lt;=IF($M130="",12,$M130)),$O130,0)</f>
        <v>72.8</v>
      </c>
      <c r="Z130" s="17" t="n">
        <f aca="false">IF(AND(Z$4&gt;=IF($L130="",1,$L130),Z$4&lt;=IF($M130="",12,$M130)),$O130,0)</f>
        <v>72.8</v>
      </c>
      <c r="AA130" s="17" t="n">
        <f aca="false">IF(AND(AA$4&gt;=IF($L130="",1,$L130),AA$4&lt;=IF($M130="",12,$M130)),$O130,0)</f>
        <v>72.8</v>
      </c>
      <c r="AB130" s="18" t="n">
        <f aca="false">SUM(P130:AA130)</f>
        <v>873.6</v>
      </c>
    </row>
    <row r="131" customFormat="false" ht="15" hidden="false" customHeight="false" outlineLevel="0" collapsed="false">
      <c r="A131" s="42" t="s">
        <v>385</v>
      </c>
      <c r="B131" s="25" t="s">
        <v>68</v>
      </c>
      <c r="C131" s="43" t="s">
        <v>252</v>
      </c>
      <c r="D131" s="53" t="s">
        <v>384</v>
      </c>
      <c r="E131" s="45" t="n">
        <v>1</v>
      </c>
      <c r="F131" s="40"/>
      <c r="G131" s="46" t="n">
        <f aca="false">IFERROR(IF($F131&gt;0,MAX(0,INDEX('XERO ACTUALS'!$T$5:$T$132,MATCH($A131,'XERO ACTUALS'!$A$5:$A$132,0))-$F131),INDEX('XERO ACTUALS'!$T$5:$T$132,MATCH($A131,'XERO ACTUALS'!$A$5:$A$132,0)))*IF($E131="",1,$E131),"")</f>
        <v>56.0866666666667</v>
      </c>
      <c r="H131" s="40" t="n">
        <v>100.8</v>
      </c>
      <c r="I131" s="26" t="s">
        <v>254</v>
      </c>
      <c r="J131" s="32"/>
      <c r="K131" s="27" t="n">
        <v>0</v>
      </c>
      <c r="L131" s="26" t="n">
        <v>1</v>
      </c>
      <c r="M131" s="26" t="n">
        <v>12</v>
      </c>
      <c r="N131" s="47" t="s">
        <v>255</v>
      </c>
      <c r="O131" s="18" t="n">
        <f aca="false">IF($N131="N",0,IF($A131="",0,(IF($J131&lt;&gt;"",$J131,IF($I131="BUDGET",IF($H131="",0,$H131),IF($G131="",0,$G131))))*(1+IF($K131="",0,$K131))))</f>
        <v>56.0866666666667</v>
      </c>
      <c r="P131" s="17" t="n">
        <f aca="false">IF(AND(P$4&gt;=IF($L131="",1,$L131),P$4&lt;=IF($M131="",12,$M131)),$O131,0)</f>
        <v>56.0866666666667</v>
      </c>
      <c r="Q131" s="17" t="n">
        <f aca="false">IF(AND(Q$4&gt;=IF($L131="",1,$L131),Q$4&lt;=IF($M131="",12,$M131)),$O131,0)</f>
        <v>56.0866666666667</v>
      </c>
      <c r="R131" s="17" t="n">
        <f aca="false">IF(AND(R$4&gt;=IF($L131="",1,$L131),R$4&lt;=IF($M131="",12,$M131)),$O131,0)</f>
        <v>56.0866666666667</v>
      </c>
      <c r="S131" s="17" t="n">
        <f aca="false">IF(AND(S$4&gt;=IF($L131="",1,$L131),S$4&lt;=IF($M131="",12,$M131)),$O131,0)</f>
        <v>56.0866666666667</v>
      </c>
      <c r="T131" s="17" t="n">
        <f aca="false">IF(AND(T$4&gt;=IF($L131="",1,$L131),T$4&lt;=IF($M131="",12,$M131)),$O131,0)</f>
        <v>56.0866666666667</v>
      </c>
      <c r="U131" s="17" t="n">
        <f aca="false">IF(AND(U$4&gt;=IF($L131="",1,$L131),U$4&lt;=IF($M131="",12,$M131)),$O131,0)</f>
        <v>56.0866666666667</v>
      </c>
      <c r="V131" s="17" t="n">
        <f aca="false">IF(AND(V$4&gt;=IF($L131="",1,$L131),V$4&lt;=IF($M131="",12,$M131)),$O131,0)</f>
        <v>56.0866666666667</v>
      </c>
      <c r="W131" s="17" t="n">
        <f aca="false">IF(AND(W$4&gt;=IF($L131="",1,$L131),W$4&lt;=IF($M131="",12,$M131)),$O131,0)</f>
        <v>56.0866666666667</v>
      </c>
      <c r="X131" s="17" t="n">
        <f aca="false">IF(AND(X$4&gt;=IF($L131="",1,$L131),X$4&lt;=IF($M131="",12,$M131)),$O131,0)</f>
        <v>56.0866666666667</v>
      </c>
      <c r="Y131" s="17" t="n">
        <f aca="false">IF(AND(Y$4&gt;=IF($L131="",1,$L131),Y$4&lt;=IF($M131="",12,$M131)),$O131,0)</f>
        <v>56.0866666666667</v>
      </c>
      <c r="Z131" s="17" t="n">
        <f aca="false">IF(AND(Z$4&gt;=IF($L131="",1,$L131),Z$4&lt;=IF($M131="",12,$M131)),$O131,0)</f>
        <v>56.0866666666667</v>
      </c>
      <c r="AA131" s="17" t="n">
        <f aca="false">IF(AND(AA$4&gt;=IF($L131="",1,$L131),AA$4&lt;=IF($M131="",12,$M131)),$O131,0)</f>
        <v>56.0866666666667</v>
      </c>
      <c r="AB131" s="18" t="n">
        <f aca="false">SUM(P131:AA131)</f>
        <v>673.04</v>
      </c>
    </row>
    <row r="132" customFormat="false" ht="15" hidden="false" customHeight="false" outlineLevel="0" collapsed="false">
      <c r="A132" s="42" t="s">
        <v>386</v>
      </c>
      <c r="B132" s="25" t="s">
        <v>68</v>
      </c>
      <c r="C132" s="43" t="s">
        <v>260</v>
      </c>
      <c r="D132" s="50" t="s">
        <v>285</v>
      </c>
      <c r="E132" s="45" t="n">
        <v>1</v>
      </c>
      <c r="F132" s="40"/>
      <c r="G132" s="46" t="n">
        <f aca="false">IFERROR(IF($F132&gt;0,MAX(0,INDEX('XERO ACTUALS'!$T$5:$T$132,MATCH($A132,'XERO ACTUALS'!$A$5:$A$132,0))-$F132),INDEX('XERO ACTUALS'!$T$5:$T$132,MATCH($A132,'XERO ACTUALS'!$A$5:$A$132,0)))*IF($E132="",1,$E132),"")</f>
        <v>29.9580587177951</v>
      </c>
      <c r="H132" s="40"/>
      <c r="I132" s="26" t="s">
        <v>254</v>
      </c>
      <c r="J132" s="32"/>
      <c r="K132" s="27" t="n">
        <v>0</v>
      </c>
      <c r="L132" s="26" t="n">
        <v>1</v>
      </c>
      <c r="M132" s="26" t="n">
        <v>12</v>
      </c>
      <c r="N132" s="47" t="s">
        <v>267</v>
      </c>
      <c r="O132" s="18" t="n">
        <f aca="false">IF($N132="N",0,IF($A132="",0,(IF($J132&lt;&gt;"",$J132,IF($I132="BUDGET",IF($H132="",0,$H132),IF($G132="",0,$G132))))*(1+IF($K132="",0,$K132))))</f>
        <v>0</v>
      </c>
      <c r="P132" s="17" t="n">
        <f aca="false">IF(AND(P$4&gt;=IF($L132="",1,$L132),P$4&lt;=IF($M132="",12,$M132)),$O132,0)</f>
        <v>0</v>
      </c>
      <c r="Q132" s="17" t="n">
        <f aca="false">IF(AND(Q$4&gt;=IF($L132="",1,$L132),Q$4&lt;=IF($M132="",12,$M132)),$O132,0)</f>
        <v>0</v>
      </c>
      <c r="R132" s="17" t="n">
        <f aca="false">IF(AND(R$4&gt;=IF($L132="",1,$L132),R$4&lt;=IF($M132="",12,$M132)),$O132,0)</f>
        <v>0</v>
      </c>
      <c r="S132" s="17" t="n">
        <f aca="false">IF(AND(S$4&gt;=IF($L132="",1,$L132),S$4&lt;=IF($M132="",12,$M132)),$O132,0)</f>
        <v>0</v>
      </c>
      <c r="T132" s="17" t="n">
        <f aca="false">IF(AND(T$4&gt;=IF($L132="",1,$L132),T$4&lt;=IF($M132="",12,$M132)),$O132,0)</f>
        <v>0</v>
      </c>
      <c r="U132" s="17" t="n">
        <f aca="false">IF(AND(U$4&gt;=IF($L132="",1,$L132),U$4&lt;=IF($M132="",12,$M132)),$O132,0)</f>
        <v>0</v>
      </c>
      <c r="V132" s="17" t="n">
        <f aca="false">IF(AND(V$4&gt;=IF($L132="",1,$L132),V$4&lt;=IF($M132="",12,$M132)),$O132,0)</f>
        <v>0</v>
      </c>
      <c r="W132" s="17" t="n">
        <f aca="false">IF(AND(W$4&gt;=IF($L132="",1,$L132),W$4&lt;=IF($M132="",12,$M132)),$O132,0)</f>
        <v>0</v>
      </c>
      <c r="X132" s="17" t="n">
        <f aca="false">IF(AND(X$4&gt;=IF($L132="",1,$L132),X$4&lt;=IF($M132="",12,$M132)),$O132,0)</f>
        <v>0</v>
      </c>
      <c r="Y132" s="17" t="n">
        <f aca="false">IF(AND(Y$4&gt;=IF($L132="",1,$L132),Y$4&lt;=IF($M132="",12,$M132)),$O132,0)</f>
        <v>0</v>
      </c>
      <c r="Z132" s="17" t="n">
        <f aca="false">IF(AND(Z$4&gt;=IF($L132="",1,$L132),Z$4&lt;=IF($M132="",12,$M132)),$O132,0)</f>
        <v>0</v>
      </c>
      <c r="AA132" s="17" t="n">
        <f aca="false">IF(AND(AA$4&gt;=IF($L132="",1,$L132),AA$4&lt;=IF($M132="",12,$M132)),$O132,0)</f>
        <v>0</v>
      </c>
      <c r="AB132" s="18" t="n">
        <f aca="false">SUM(P132:AA132)</f>
        <v>0</v>
      </c>
    </row>
    <row r="133" customFormat="false" ht="15" hidden="false" customHeight="false" outlineLevel="0" collapsed="false">
      <c r="A133" s="42" t="s">
        <v>387</v>
      </c>
      <c r="B133" s="25" t="s">
        <v>68</v>
      </c>
      <c r="C133" s="43" t="s">
        <v>260</v>
      </c>
      <c r="D133" s="50" t="s">
        <v>285</v>
      </c>
      <c r="E133" s="45" t="n">
        <v>1</v>
      </c>
      <c r="F133" s="40"/>
      <c r="G133" s="46" t="n">
        <f aca="false">IFERROR(IF($F133&gt;0,MAX(0,INDEX('XERO ACTUALS'!$T$5:$T$132,MATCH($A133,'XERO ACTUALS'!$A$5:$A$132,0))-$F133),INDEX('XERO ACTUALS'!$T$5:$T$132,MATCH($A133,'XERO ACTUALS'!$A$5:$A$132,0)))*IF($E133="",1,$E133),"")</f>
        <v>21.5033735379165</v>
      </c>
      <c r="H133" s="40"/>
      <c r="I133" s="26" t="s">
        <v>254</v>
      </c>
      <c r="J133" s="32"/>
      <c r="K133" s="27" t="n">
        <v>0</v>
      </c>
      <c r="L133" s="26" t="n">
        <v>1</v>
      </c>
      <c r="M133" s="26" t="n">
        <v>12</v>
      </c>
      <c r="N133" s="47" t="s">
        <v>267</v>
      </c>
      <c r="O133" s="18" t="n">
        <f aca="false">IF($N133="N",0,IF($A133="",0,(IF($J133&lt;&gt;"",$J133,IF($I133="BUDGET",IF($H133="",0,$H133),IF($G133="",0,$G133))))*(1+IF($K133="",0,$K133))))</f>
        <v>0</v>
      </c>
      <c r="P133" s="17" t="n">
        <f aca="false">IF(AND(P$4&gt;=IF($L133="",1,$L133),P$4&lt;=IF($M133="",12,$M133)),$O133,0)</f>
        <v>0</v>
      </c>
      <c r="Q133" s="17" t="n">
        <f aca="false">IF(AND(Q$4&gt;=IF($L133="",1,$L133),Q$4&lt;=IF($M133="",12,$M133)),$O133,0)</f>
        <v>0</v>
      </c>
      <c r="R133" s="17" t="n">
        <f aca="false">IF(AND(R$4&gt;=IF($L133="",1,$L133),R$4&lt;=IF($M133="",12,$M133)),$O133,0)</f>
        <v>0</v>
      </c>
      <c r="S133" s="17" t="n">
        <f aca="false">IF(AND(S$4&gt;=IF($L133="",1,$L133),S$4&lt;=IF($M133="",12,$M133)),$O133,0)</f>
        <v>0</v>
      </c>
      <c r="T133" s="17" t="n">
        <f aca="false">IF(AND(T$4&gt;=IF($L133="",1,$L133),T$4&lt;=IF($M133="",12,$M133)),$O133,0)</f>
        <v>0</v>
      </c>
      <c r="U133" s="17" t="n">
        <f aca="false">IF(AND(U$4&gt;=IF($L133="",1,$L133),U$4&lt;=IF($M133="",12,$M133)),$O133,0)</f>
        <v>0</v>
      </c>
      <c r="V133" s="17" t="n">
        <f aca="false">IF(AND(V$4&gt;=IF($L133="",1,$L133),V$4&lt;=IF($M133="",12,$M133)),$O133,0)</f>
        <v>0</v>
      </c>
      <c r="W133" s="17" t="n">
        <f aca="false">IF(AND(W$4&gt;=IF($L133="",1,$L133),W$4&lt;=IF($M133="",12,$M133)),$O133,0)</f>
        <v>0</v>
      </c>
      <c r="X133" s="17" t="n">
        <f aca="false">IF(AND(X$4&gt;=IF($L133="",1,$L133),X$4&lt;=IF($M133="",12,$M133)),$O133,0)</f>
        <v>0</v>
      </c>
      <c r="Y133" s="17" t="n">
        <f aca="false">IF(AND(Y$4&gt;=IF($L133="",1,$L133),Y$4&lt;=IF($M133="",12,$M133)),$O133,0)</f>
        <v>0</v>
      </c>
      <c r="Z133" s="17" t="n">
        <f aca="false">IF(AND(Z$4&gt;=IF($L133="",1,$L133),Z$4&lt;=IF($M133="",12,$M133)),$O133,0)</f>
        <v>0</v>
      </c>
      <c r="AA133" s="17" t="n">
        <f aca="false">IF(AND(AA$4&gt;=IF($L133="",1,$L133),AA$4&lt;=IF($M133="",12,$M133)),$O133,0)</f>
        <v>0</v>
      </c>
      <c r="AB133" s="18" t="n">
        <f aca="false">SUM(P133:AA133)</f>
        <v>0</v>
      </c>
    </row>
    <row r="134" customFormat="false" ht="15" hidden="false" customHeight="false" outlineLevel="0" collapsed="false">
      <c r="A134" s="16" t="s">
        <v>388</v>
      </c>
      <c r="B134" s="25" t="s">
        <v>68</v>
      </c>
      <c r="C134" s="43" t="s">
        <v>264</v>
      </c>
      <c r="D134" s="44" t="s">
        <v>265</v>
      </c>
      <c r="E134" s="45"/>
      <c r="F134" s="40"/>
      <c r="G134" s="46"/>
      <c r="H134" s="40" t="n">
        <v>4.08</v>
      </c>
      <c r="I134" s="26" t="s">
        <v>266</v>
      </c>
      <c r="J134" s="32"/>
      <c r="K134" s="27" t="n">
        <v>0</v>
      </c>
      <c r="L134" s="26" t="n">
        <v>1</v>
      </c>
      <c r="M134" s="26" t="n">
        <v>12</v>
      </c>
      <c r="N134" s="47" t="s">
        <v>267</v>
      </c>
      <c r="O134" s="18" t="n">
        <f aca="false">IF($N134="N",0,IF($A134="",0,(IF($J134&lt;&gt;"",$J134,IF($I134="BUDGET",IF($H134="",0,$H134),IF($G134="",0,$G134))))*(1+IF($K134="",0,$K134))))</f>
        <v>0</v>
      </c>
      <c r="P134" s="17" t="n">
        <f aca="false">IF(AND(P$4&gt;=IF($L134="",1,$L134),P$4&lt;=IF($M134="",12,$M134)),$O134,0)</f>
        <v>0</v>
      </c>
      <c r="Q134" s="17" t="n">
        <f aca="false">IF(AND(Q$4&gt;=IF($L134="",1,$L134),Q$4&lt;=IF($M134="",12,$M134)),$O134,0)</f>
        <v>0</v>
      </c>
      <c r="R134" s="17" t="n">
        <f aca="false">IF(AND(R$4&gt;=IF($L134="",1,$L134),R$4&lt;=IF($M134="",12,$M134)),$O134,0)</f>
        <v>0</v>
      </c>
      <c r="S134" s="17" t="n">
        <f aca="false">IF(AND(S$4&gt;=IF($L134="",1,$L134),S$4&lt;=IF($M134="",12,$M134)),$O134,0)</f>
        <v>0</v>
      </c>
      <c r="T134" s="17" t="n">
        <f aca="false">IF(AND(T$4&gt;=IF($L134="",1,$L134),T$4&lt;=IF($M134="",12,$M134)),$O134,0)</f>
        <v>0</v>
      </c>
      <c r="U134" s="17" t="n">
        <f aca="false">IF(AND(U$4&gt;=IF($L134="",1,$L134),U$4&lt;=IF($M134="",12,$M134)),$O134,0)</f>
        <v>0</v>
      </c>
      <c r="V134" s="17" t="n">
        <f aca="false">IF(AND(V$4&gt;=IF($L134="",1,$L134),V$4&lt;=IF($M134="",12,$M134)),$O134,0)</f>
        <v>0</v>
      </c>
      <c r="W134" s="17" t="n">
        <f aca="false">IF(AND(W$4&gt;=IF($L134="",1,$L134),W$4&lt;=IF($M134="",12,$M134)),$O134,0)</f>
        <v>0</v>
      </c>
      <c r="X134" s="17" t="n">
        <f aca="false">IF(AND(X$4&gt;=IF($L134="",1,$L134),X$4&lt;=IF($M134="",12,$M134)),$O134,0)</f>
        <v>0</v>
      </c>
      <c r="Y134" s="17" t="n">
        <f aca="false">IF(AND(Y$4&gt;=IF($L134="",1,$L134),Y$4&lt;=IF($M134="",12,$M134)),$O134,0)</f>
        <v>0</v>
      </c>
      <c r="Z134" s="17" t="n">
        <f aca="false">IF(AND(Z$4&gt;=IF($L134="",1,$L134),Z$4&lt;=IF($M134="",12,$M134)),$O134,0)</f>
        <v>0</v>
      </c>
      <c r="AA134" s="17" t="n">
        <f aca="false">IF(AND(AA$4&gt;=IF($L134="",1,$L134),AA$4&lt;=IF($M134="",12,$M134)),$O134,0)</f>
        <v>0</v>
      </c>
      <c r="AB134" s="18" t="n">
        <f aca="false">SUM(P134:AA134)</f>
        <v>0</v>
      </c>
    </row>
    <row r="135" customFormat="false" ht="15" hidden="false" customHeight="false" outlineLevel="0" collapsed="false">
      <c r="A135" s="42" t="s">
        <v>389</v>
      </c>
      <c r="B135" s="25" t="s">
        <v>68</v>
      </c>
      <c r="C135" s="43" t="s">
        <v>260</v>
      </c>
      <c r="D135" s="52" t="s">
        <v>297</v>
      </c>
      <c r="E135" s="45" t="n">
        <v>1</v>
      </c>
      <c r="F135" s="40"/>
      <c r="G135" s="46" t="n">
        <f aca="false">IFERROR(IF($F135&gt;0,MAX(0,INDEX('XERO ACTUALS'!$T$5:$T$132,MATCH($A135,'XERO ACTUALS'!$A$5:$A$132,0))-$F135),INDEX('XERO ACTUALS'!$T$5:$T$132,MATCH($A135,'XERO ACTUALS'!$A$5:$A$132,0)))*IF($E135="",1,$E135),"")</f>
        <v>0</v>
      </c>
      <c r="H135" s="40"/>
      <c r="I135" s="26" t="s">
        <v>254</v>
      </c>
      <c r="J135" s="32"/>
      <c r="K135" s="27" t="n">
        <v>0</v>
      </c>
      <c r="L135" s="26" t="n">
        <v>1</v>
      </c>
      <c r="M135" s="26" t="n">
        <v>12</v>
      </c>
      <c r="N135" s="47" t="s">
        <v>267</v>
      </c>
      <c r="O135" s="18" t="n">
        <f aca="false">IF($N135="N",0,IF($A135="",0,(IF($J135&lt;&gt;"",$J135,IF($I135="BUDGET",IF($H135="",0,$H135),IF($G135="",0,$G135))))*(1+IF($K135="",0,$K135))))</f>
        <v>0</v>
      </c>
      <c r="P135" s="17" t="n">
        <f aca="false">IF(AND(P$4&gt;=IF($L135="",1,$L135),P$4&lt;=IF($M135="",12,$M135)),$O135,0)</f>
        <v>0</v>
      </c>
      <c r="Q135" s="17" t="n">
        <f aca="false">IF(AND(Q$4&gt;=IF($L135="",1,$L135),Q$4&lt;=IF($M135="",12,$M135)),$O135,0)</f>
        <v>0</v>
      </c>
      <c r="R135" s="17" t="n">
        <f aca="false">IF(AND(R$4&gt;=IF($L135="",1,$L135),R$4&lt;=IF($M135="",12,$M135)),$O135,0)</f>
        <v>0</v>
      </c>
      <c r="S135" s="17" t="n">
        <f aca="false">IF(AND(S$4&gt;=IF($L135="",1,$L135),S$4&lt;=IF($M135="",12,$M135)),$O135,0)</f>
        <v>0</v>
      </c>
      <c r="T135" s="17" t="n">
        <f aca="false">IF(AND(T$4&gt;=IF($L135="",1,$L135),T$4&lt;=IF($M135="",12,$M135)),$O135,0)</f>
        <v>0</v>
      </c>
      <c r="U135" s="17" t="n">
        <f aca="false">IF(AND(U$4&gt;=IF($L135="",1,$L135),U$4&lt;=IF($M135="",12,$M135)),$O135,0)</f>
        <v>0</v>
      </c>
      <c r="V135" s="17" t="n">
        <f aca="false">IF(AND(V$4&gt;=IF($L135="",1,$L135),V$4&lt;=IF($M135="",12,$M135)),$O135,0)</f>
        <v>0</v>
      </c>
      <c r="W135" s="17" t="n">
        <f aca="false">IF(AND(W$4&gt;=IF($L135="",1,$L135),W$4&lt;=IF($M135="",12,$M135)),$O135,0)</f>
        <v>0</v>
      </c>
      <c r="X135" s="17" t="n">
        <f aca="false">IF(AND(X$4&gt;=IF($L135="",1,$L135),X$4&lt;=IF($M135="",12,$M135)),$O135,0)</f>
        <v>0</v>
      </c>
      <c r="Y135" s="17" t="n">
        <f aca="false">IF(AND(Y$4&gt;=IF($L135="",1,$L135),Y$4&lt;=IF($M135="",12,$M135)),$O135,0)</f>
        <v>0</v>
      </c>
      <c r="Z135" s="17" t="n">
        <f aca="false">IF(AND(Z$4&gt;=IF($L135="",1,$L135),Z$4&lt;=IF($M135="",12,$M135)),$O135,0)</f>
        <v>0</v>
      </c>
      <c r="AA135" s="17" t="n">
        <f aca="false">IF(AND(AA$4&gt;=IF($L135="",1,$L135),AA$4&lt;=IF($M135="",12,$M135)),$O135,0)</f>
        <v>0</v>
      </c>
      <c r="AB135" s="18" t="n">
        <f aca="false">SUM(P135:AA135)</f>
        <v>0</v>
      </c>
    </row>
    <row r="136" customFormat="false" ht="15" hidden="false" customHeight="false" outlineLevel="0" collapsed="false">
      <c r="A136" s="42" t="s">
        <v>390</v>
      </c>
      <c r="B136" s="25" t="s">
        <v>69</v>
      </c>
      <c r="C136" s="43" t="s">
        <v>260</v>
      </c>
      <c r="D136" s="48" t="s">
        <v>261</v>
      </c>
      <c r="E136" s="45" t="n">
        <v>1</v>
      </c>
      <c r="F136" s="40"/>
      <c r="G136" s="46" t="n">
        <f aca="false">IFERROR(IF($F136&gt;0,MAX(0,INDEX('XERO ACTUALS'!$T$5:$T$132,MATCH($A136,'XERO ACTUALS'!$A$5:$A$132,0))-$F136),INDEX('XERO ACTUALS'!$T$5:$T$132,MATCH($A136,'XERO ACTUALS'!$A$5:$A$132,0)))*IF($E136="",1,$E136),"")</f>
        <v>635.61</v>
      </c>
      <c r="H136" s="40"/>
      <c r="I136" s="26" t="s">
        <v>254</v>
      </c>
      <c r="J136" s="32"/>
      <c r="K136" s="27" t="n">
        <v>0</v>
      </c>
      <c r="L136" s="26" t="n">
        <v>1</v>
      </c>
      <c r="M136" s="26" t="n">
        <v>12</v>
      </c>
      <c r="N136" s="47" t="s">
        <v>255</v>
      </c>
      <c r="O136" s="18" t="n">
        <f aca="false">IF($N136="N",0,IF($A136="",0,(IF($J136&lt;&gt;"",$J136,IF($I136="BUDGET",IF($H136="",0,$H136),IF($G136="",0,$G136))))*(1+IF($K136="",0,$K136))))</f>
        <v>635.61</v>
      </c>
      <c r="P136" s="17" t="n">
        <f aca="false">IF(AND(P$4&gt;=IF($L136="",1,$L136),P$4&lt;=IF($M136="",12,$M136)),$O136,0)</f>
        <v>635.61</v>
      </c>
      <c r="Q136" s="17" t="n">
        <f aca="false">IF(AND(Q$4&gt;=IF($L136="",1,$L136),Q$4&lt;=IF($M136="",12,$M136)),$O136,0)</f>
        <v>635.61</v>
      </c>
      <c r="R136" s="17" t="n">
        <f aca="false">IF(AND(R$4&gt;=IF($L136="",1,$L136),R$4&lt;=IF($M136="",12,$M136)),$O136,0)</f>
        <v>635.61</v>
      </c>
      <c r="S136" s="17" t="n">
        <f aca="false">IF(AND(S$4&gt;=IF($L136="",1,$L136),S$4&lt;=IF($M136="",12,$M136)),$O136,0)</f>
        <v>635.61</v>
      </c>
      <c r="T136" s="17" t="n">
        <f aca="false">IF(AND(T$4&gt;=IF($L136="",1,$L136),T$4&lt;=IF($M136="",12,$M136)),$O136,0)</f>
        <v>635.61</v>
      </c>
      <c r="U136" s="17" t="n">
        <f aca="false">IF(AND(U$4&gt;=IF($L136="",1,$L136),U$4&lt;=IF($M136="",12,$M136)),$O136,0)</f>
        <v>635.61</v>
      </c>
      <c r="V136" s="17" t="n">
        <f aca="false">IF(AND(V$4&gt;=IF($L136="",1,$L136),V$4&lt;=IF($M136="",12,$M136)),$O136,0)</f>
        <v>635.61</v>
      </c>
      <c r="W136" s="17" t="n">
        <f aca="false">IF(AND(W$4&gt;=IF($L136="",1,$L136),W$4&lt;=IF($M136="",12,$M136)),$O136,0)</f>
        <v>635.61</v>
      </c>
      <c r="X136" s="17" t="n">
        <f aca="false">IF(AND(X$4&gt;=IF($L136="",1,$L136),X$4&lt;=IF($M136="",12,$M136)),$O136,0)</f>
        <v>635.61</v>
      </c>
      <c r="Y136" s="17" t="n">
        <f aca="false">IF(AND(Y$4&gt;=IF($L136="",1,$L136),Y$4&lt;=IF($M136="",12,$M136)),$O136,0)</f>
        <v>635.61</v>
      </c>
      <c r="Z136" s="17" t="n">
        <f aca="false">IF(AND(Z$4&gt;=IF($L136="",1,$L136),Z$4&lt;=IF($M136="",12,$M136)),$O136,0)</f>
        <v>635.61</v>
      </c>
      <c r="AA136" s="17" t="n">
        <f aca="false">IF(AND(AA$4&gt;=IF($L136="",1,$L136),AA$4&lt;=IF($M136="",12,$M136)),$O136,0)</f>
        <v>635.61</v>
      </c>
      <c r="AB136" s="18" t="n">
        <f aca="false">SUM(P136:AA136)</f>
        <v>7627.32</v>
      </c>
    </row>
    <row r="137" customFormat="false" ht="15" hidden="false" customHeight="false" outlineLevel="0" collapsed="false">
      <c r="A137" s="42" t="s">
        <v>322</v>
      </c>
      <c r="B137" s="25" t="s">
        <v>69</v>
      </c>
      <c r="C137" s="43" t="s">
        <v>252</v>
      </c>
      <c r="D137" s="44" t="s">
        <v>253</v>
      </c>
      <c r="E137" s="45" t="n">
        <v>0.4866</v>
      </c>
      <c r="F137" s="40"/>
      <c r="G137" s="46" t="n">
        <f aca="false">IFERROR(IF($F137&gt;0,MAX(0,INDEX('XERO ACTUALS'!$T$5:$T$132,MATCH($A137,'XERO ACTUALS'!$A$5:$A$132,0))-$F137),INDEX('XERO ACTUALS'!$T$5:$T$132,MATCH($A137,'XERO ACTUALS'!$A$5:$A$132,0)))*IF($E137="",1,$E137),"")</f>
        <v>152.446914</v>
      </c>
      <c r="H137" s="40" t="n">
        <v>306.75</v>
      </c>
      <c r="I137" s="26" t="s">
        <v>254</v>
      </c>
      <c r="J137" s="32"/>
      <c r="K137" s="27" t="n">
        <v>0</v>
      </c>
      <c r="L137" s="26" t="n">
        <v>1</v>
      </c>
      <c r="M137" s="26" t="n">
        <v>12</v>
      </c>
      <c r="N137" s="47" t="s">
        <v>255</v>
      </c>
      <c r="O137" s="18" t="n">
        <f aca="false">IF($N137="N",0,IF($A137="",0,(IF($J137&lt;&gt;"",$J137,IF($I137="BUDGET",IF($H137="",0,$H137),IF($G137="",0,$G137))))*(1+IF($K137="",0,$K137))))</f>
        <v>152.446914</v>
      </c>
      <c r="P137" s="17" t="n">
        <f aca="false">IF(AND(P$4&gt;=IF($L137="",1,$L137),P$4&lt;=IF($M137="",12,$M137)),$O137,0)</f>
        <v>152.446914</v>
      </c>
      <c r="Q137" s="17" t="n">
        <f aca="false">IF(AND(Q$4&gt;=IF($L137="",1,$L137),Q$4&lt;=IF($M137="",12,$M137)),$O137,0)</f>
        <v>152.446914</v>
      </c>
      <c r="R137" s="17" t="n">
        <f aca="false">IF(AND(R$4&gt;=IF($L137="",1,$L137),R$4&lt;=IF($M137="",12,$M137)),$O137,0)</f>
        <v>152.446914</v>
      </c>
      <c r="S137" s="17" t="n">
        <f aca="false">IF(AND(S$4&gt;=IF($L137="",1,$L137),S$4&lt;=IF($M137="",12,$M137)),$O137,0)</f>
        <v>152.446914</v>
      </c>
      <c r="T137" s="17" t="n">
        <f aca="false">IF(AND(T$4&gt;=IF($L137="",1,$L137),T$4&lt;=IF($M137="",12,$M137)),$O137,0)</f>
        <v>152.446914</v>
      </c>
      <c r="U137" s="17" t="n">
        <f aca="false">IF(AND(U$4&gt;=IF($L137="",1,$L137),U$4&lt;=IF($M137="",12,$M137)),$O137,0)</f>
        <v>152.446914</v>
      </c>
      <c r="V137" s="17" t="n">
        <f aca="false">IF(AND(V$4&gt;=IF($L137="",1,$L137),V$4&lt;=IF($M137="",12,$M137)),$O137,0)</f>
        <v>152.446914</v>
      </c>
      <c r="W137" s="17" t="n">
        <f aca="false">IF(AND(W$4&gt;=IF($L137="",1,$L137),W$4&lt;=IF($M137="",12,$M137)),$O137,0)</f>
        <v>152.446914</v>
      </c>
      <c r="X137" s="17" t="n">
        <f aca="false">IF(AND(X$4&gt;=IF($L137="",1,$L137),X$4&lt;=IF($M137="",12,$M137)),$O137,0)</f>
        <v>152.446914</v>
      </c>
      <c r="Y137" s="17" t="n">
        <f aca="false">IF(AND(Y$4&gt;=IF($L137="",1,$L137),Y$4&lt;=IF($M137="",12,$M137)),$O137,0)</f>
        <v>152.446914</v>
      </c>
      <c r="Z137" s="17" t="n">
        <f aca="false">IF(AND(Z$4&gt;=IF($L137="",1,$L137),Z$4&lt;=IF($M137="",12,$M137)),$O137,0)</f>
        <v>152.446914</v>
      </c>
      <c r="AA137" s="17" t="n">
        <f aca="false">IF(AND(AA$4&gt;=IF($L137="",1,$L137),AA$4&lt;=IF($M137="",12,$M137)),$O137,0)</f>
        <v>152.446914</v>
      </c>
      <c r="AB137" s="18" t="n">
        <f aca="false">SUM(P137:AA137)</f>
        <v>1829.362968</v>
      </c>
    </row>
    <row r="138" customFormat="false" ht="15" hidden="false" customHeight="false" outlineLevel="0" collapsed="false">
      <c r="A138" s="42" t="s">
        <v>391</v>
      </c>
      <c r="B138" s="25" t="s">
        <v>69</v>
      </c>
      <c r="C138" s="43" t="s">
        <v>260</v>
      </c>
      <c r="D138" s="48" t="s">
        <v>261</v>
      </c>
      <c r="E138" s="45" t="n">
        <v>1</v>
      </c>
      <c r="F138" s="40"/>
      <c r="G138" s="46" t="n">
        <f aca="false">IFERROR(IF($F138&gt;0,MAX(0,INDEX('XERO ACTUALS'!$T$5:$T$132,MATCH($A138,'XERO ACTUALS'!$A$5:$A$132,0))-$F138),INDEX('XERO ACTUALS'!$T$5:$T$132,MATCH($A138,'XERO ACTUALS'!$A$5:$A$132,0)))*IF($E138="",1,$E138),"")</f>
        <v>96.29</v>
      </c>
      <c r="H138" s="40"/>
      <c r="I138" s="26" t="s">
        <v>254</v>
      </c>
      <c r="J138" s="32"/>
      <c r="K138" s="27" t="n">
        <v>0</v>
      </c>
      <c r="L138" s="26" t="n">
        <v>1</v>
      </c>
      <c r="M138" s="26" t="n">
        <v>12</v>
      </c>
      <c r="N138" s="47" t="s">
        <v>255</v>
      </c>
      <c r="O138" s="18" t="n">
        <f aca="false">IF($N138="N",0,IF($A138="",0,(IF($J138&lt;&gt;"",$J138,IF($I138="BUDGET",IF($H138="",0,$H138),IF($G138="",0,$G138))))*(1+IF($K138="",0,$K138))))</f>
        <v>96.29</v>
      </c>
      <c r="P138" s="17" t="n">
        <f aca="false">IF(AND(P$4&gt;=IF($L138="",1,$L138),P$4&lt;=IF($M138="",12,$M138)),$O138,0)</f>
        <v>96.29</v>
      </c>
      <c r="Q138" s="17" t="n">
        <f aca="false">IF(AND(Q$4&gt;=IF($L138="",1,$L138),Q$4&lt;=IF($M138="",12,$M138)),$O138,0)</f>
        <v>96.29</v>
      </c>
      <c r="R138" s="17" t="n">
        <f aca="false">IF(AND(R$4&gt;=IF($L138="",1,$L138),R$4&lt;=IF($M138="",12,$M138)),$O138,0)</f>
        <v>96.29</v>
      </c>
      <c r="S138" s="17" t="n">
        <f aca="false">IF(AND(S$4&gt;=IF($L138="",1,$L138),S$4&lt;=IF($M138="",12,$M138)),$O138,0)</f>
        <v>96.29</v>
      </c>
      <c r="T138" s="17" t="n">
        <f aca="false">IF(AND(T$4&gt;=IF($L138="",1,$L138),T$4&lt;=IF($M138="",12,$M138)),$O138,0)</f>
        <v>96.29</v>
      </c>
      <c r="U138" s="17" t="n">
        <f aca="false">IF(AND(U$4&gt;=IF($L138="",1,$L138),U$4&lt;=IF($M138="",12,$M138)),$O138,0)</f>
        <v>96.29</v>
      </c>
      <c r="V138" s="17" t="n">
        <f aca="false">IF(AND(V$4&gt;=IF($L138="",1,$L138),V$4&lt;=IF($M138="",12,$M138)),$O138,0)</f>
        <v>96.29</v>
      </c>
      <c r="W138" s="17" t="n">
        <f aca="false">IF(AND(W$4&gt;=IF($L138="",1,$L138),W$4&lt;=IF($M138="",12,$M138)),$O138,0)</f>
        <v>96.29</v>
      </c>
      <c r="X138" s="17" t="n">
        <f aca="false">IF(AND(X$4&gt;=IF($L138="",1,$L138),X$4&lt;=IF($M138="",12,$M138)),$O138,0)</f>
        <v>96.29</v>
      </c>
      <c r="Y138" s="17" t="n">
        <f aca="false">IF(AND(Y$4&gt;=IF($L138="",1,$L138),Y$4&lt;=IF($M138="",12,$M138)),$O138,0)</f>
        <v>96.29</v>
      </c>
      <c r="Z138" s="17" t="n">
        <f aca="false">IF(AND(Z$4&gt;=IF($L138="",1,$L138),Z$4&lt;=IF($M138="",12,$M138)),$O138,0)</f>
        <v>96.29</v>
      </c>
      <c r="AA138" s="17" t="n">
        <f aca="false">IF(AND(AA$4&gt;=IF($L138="",1,$L138),AA$4&lt;=IF($M138="",12,$M138)),$O138,0)</f>
        <v>96.29</v>
      </c>
      <c r="AB138" s="18" t="n">
        <f aca="false">SUM(P138:AA138)</f>
        <v>1155.48</v>
      </c>
    </row>
    <row r="139" customFormat="false" ht="15" hidden="false" customHeight="false" outlineLevel="0" collapsed="false">
      <c r="A139" s="16" t="s">
        <v>392</v>
      </c>
      <c r="B139" s="25" t="s">
        <v>69</v>
      </c>
      <c r="C139" s="43" t="s">
        <v>264</v>
      </c>
      <c r="D139" s="44" t="s">
        <v>265</v>
      </c>
      <c r="E139" s="45"/>
      <c r="F139" s="40"/>
      <c r="G139" s="46"/>
      <c r="H139" s="40" t="n">
        <v>0</v>
      </c>
      <c r="I139" s="26" t="s">
        <v>266</v>
      </c>
      <c r="J139" s="32"/>
      <c r="K139" s="27" t="n">
        <v>0</v>
      </c>
      <c r="L139" s="26" t="n">
        <v>1</v>
      </c>
      <c r="M139" s="26" t="n">
        <v>12</v>
      </c>
      <c r="N139" s="47" t="s">
        <v>267</v>
      </c>
      <c r="O139" s="18" t="n">
        <f aca="false">IF($N139="N",0,IF($A139="",0,(IF($J139&lt;&gt;"",$J139,IF($I139="BUDGET",IF($H139="",0,$H139),IF($G139="",0,$G139))))*(1+IF($K139="",0,$K139))))</f>
        <v>0</v>
      </c>
      <c r="P139" s="17" t="n">
        <f aca="false">IF(AND(P$4&gt;=IF($L139="",1,$L139),P$4&lt;=IF($M139="",12,$M139)),$O139,0)</f>
        <v>0</v>
      </c>
      <c r="Q139" s="17" t="n">
        <f aca="false">IF(AND(Q$4&gt;=IF($L139="",1,$L139),Q$4&lt;=IF($M139="",12,$M139)),$O139,0)</f>
        <v>0</v>
      </c>
      <c r="R139" s="17" t="n">
        <f aca="false">IF(AND(R$4&gt;=IF($L139="",1,$L139),R$4&lt;=IF($M139="",12,$M139)),$O139,0)</f>
        <v>0</v>
      </c>
      <c r="S139" s="17" t="n">
        <f aca="false">IF(AND(S$4&gt;=IF($L139="",1,$L139),S$4&lt;=IF($M139="",12,$M139)),$O139,0)</f>
        <v>0</v>
      </c>
      <c r="T139" s="17" t="n">
        <f aca="false">IF(AND(T$4&gt;=IF($L139="",1,$L139),T$4&lt;=IF($M139="",12,$M139)),$O139,0)</f>
        <v>0</v>
      </c>
      <c r="U139" s="17" t="n">
        <f aca="false">IF(AND(U$4&gt;=IF($L139="",1,$L139),U$4&lt;=IF($M139="",12,$M139)),$O139,0)</f>
        <v>0</v>
      </c>
      <c r="V139" s="17" t="n">
        <f aca="false">IF(AND(V$4&gt;=IF($L139="",1,$L139),V$4&lt;=IF($M139="",12,$M139)),$O139,0)</f>
        <v>0</v>
      </c>
      <c r="W139" s="17" t="n">
        <f aca="false">IF(AND(W$4&gt;=IF($L139="",1,$L139),W$4&lt;=IF($M139="",12,$M139)),$O139,0)</f>
        <v>0</v>
      </c>
      <c r="X139" s="17" t="n">
        <f aca="false">IF(AND(X$4&gt;=IF($L139="",1,$L139),X$4&lt;=IF($M139="",12,$M139)),$O139,0)</f>
        <v>0</v>
      </c>
      <c r="Y139" s="17" t="n">
        <f aca="false">IF(AND(Y$4&gt;=IF($L139="",1,$L139),Y$4&lt;=IF($M139="",12,$M139)),$O139,0)</f>
        <v>0</v>
      </c>
      <c r="Z139" s="17" t="n">
        <f aca="false">IF(AND(Z$4&gt;=IF($L139="",1,$L139),Z$4&lt;=IF($M139="",12,$M139)),$O139,0)</f>
        <v>0</v>
      </c>
      <c r="AA139" s="17" t="n">
        <f aca="false">IF(AND(AA$4&gt;=IF($L139="",1,$L139),AA$4&lt;=IF($M139="",12,$M139)),$O139,0)</f>
        <v>0</v>
      </c>
      <c r="AB139" s="18" t="n">
        <f aca="false">SUM(P139:AA139)</f>
        <v>0</v>
      </c>
    </row>
    <row r="140" customFormat="false" ht="15" hidden="false" customHeight="false" outlineLevel="0" collapsed="false">
      <c r="A140" s="16" t="s">
        <v>361</v>
      </c>
      <c r="B140" s="25" t="s">
        <v>70</v>
      </c>
      <c r="C140" s="43" t="s">
        <v>264</v>
      </c>
      <c r="D140" s="44" t="s">
        <v>265</v>
      </c>
      <c r="E140" s="45"/>
      <c r="F140" s="40"/>
      <c r="G140" s="46"/>
      <c r="H140" s="40" t="n">
        <v>8.25</v>
      </c>
      <c r="I140" s="26" t="s">
        <v>266</v>
      </c>
      <c r="J140" s="32"/>
      <c r="K140" s="27" t="n">
        <v>0</v>
      </c>
      <c r="L140" s="26" t="n">
        <v>1</v>
      </c>
      <c r="M140" s="26" t="n">
        <v>12</v>
      </c>
      <c r="N140" s="47" t="s">
        <v>267</v>
      </c>
      <c r="O140" s="18" t="n">
        <f aca="false">IF($N140="N",0,IF($A140="",0,(IF($J140&lt;&gt;"",$J140,IF($I140="BUDGET",IF($H140="",0,$H140),IF($G140="",0,$G140))))*(1+IF($K140="",0,$K140))))</f>
        <v>0</v>
      </c>
      <c r="P140" s="17" t="n">
        <f aca="false">IF(AND(P$4&gt;=IF($L140="",1,$L140),P$4&lt;=IF($M140="",12,$M140)),$O140,0)</f>
        <v>0</v>
      </c>
      <c r="Q140" s="17" t="n">
        <f aca="false">IF(AND(Q$4&gt;=IF($L140="",1,$L140),Q$4&lt;=IF($M140="",12,$M140)),$O140,0)</f>
        <v>0</v>
      </c>
      <c r="R140" s="17" t="n">
        <f aca="false">IF(AND(R$4&gt;=IF($L140="",1,$L140),R$4&lt;=IF($M140="",12,$M140)),$O140,0)</f>
        <v>0</v>
      </c>
      <c r="S140" s="17" t="n">
        <f aca="false">IF(AND(S$4&gt;=IF($L140="",1,$L140),S$4&lt;=IF($M140="",12,$M140)),$O140,0)</f>
        <v>0</v>
      </c>
      <c r="T140" s="17" t="n">
        <f aca="false">IF(AND(T$4&gt;=IF($L140="",1,$L140),T$4&lt;=IF($M140="",12,$M140)),$O140,0)</f>
        <v>0</v>
      </c>
      <c r="U140" s="17" t="n">
        <f aca="false">IF(AND(U$4&gt;=IF($L140="",1,$L140),U$4&lt;=IF($M140="",12,$M140)),$O140,0)</f>
        <v>0</v>
      </c>
      <c r="V140" s="17" t="n">
        <f aca="false">IF(AND(V$4&gt;=IF($L140="",1,$L140),V$4&lt;=IF($M140="",12,$M140)),$O140,0)</f>
        <v>0</v>
      </c>
      <c r="W140" s="17" t="n">
        <f aca="false">IF(AND(W$4&gt;=IF($L140="",1,$L140),W$4&lt;=IF($M140="",12,$M140)),$O140,0)</f>
        <v>0</v>
      </c>
      <c r="X140" s="17" t="n">
        <f aca="false">IF(AND(X$4&gt;=IF($L140="",1,$L140),X$4&lt;=IF($M140="",12,$M140)),$O140,0)</f>
        <v>0</v>
      </c>
      <c r="Y140" s="17" t="n">
        <f aca="false">IF(AND(Y$4&gt;=IF($L140="",1,$L140),Y$4&lt;=IF($M140="",12,$M140)),$O140,0)</f>
        <v>0</v>
      </c>
      <c r="Z140" s="17" t="n">
        <f aca="false">IF(AND(Z$4&gt;=IF($L140="",1,$L140),Z$4&lt;=IF($M140="",12,$M140)),$O140,0)</f>
        <v>0</v>
      </c>
      <c r="AA140" s="17" t="n">
        <f aca="false">IF(AND(AA$4&gt;=IF($L140="",1,$L140),AA$4&lt;=IF($M140="",12,$M140)),$O140,0)</f>
        <v>0</v>
      </c>
      <c r="AB140" s="18" t="n">
        <f aca="false">SUM(P140:AA140)</f>
        <v>0</v>
      </c>
    </row>
    <row r="141" customFormat="false" ht="15" hidden="false" customHeight="false" outlineLevel="0" collapsed="false">
      <c r="A141" s="42" t="s">
        <v>319</v>
      </c>
      <c r="B141" s="25" t="s">
        <v>71</v>
      </c>
      <c r="C141" s="43" t="s">
        <v>252</v>
      </c>
      <c r="D141" s="44" t="s">
        <v>253</v>
      </c>
      <c r="E141" s="45" t="n">
        <v>0.643</v>
      </c>
      <c r="F141" s="40"/>
      <c r="G141" s="46" t="n">
        <f aca="false">IFERROR(IF($F141&gt;0,MAX(0,INDEX('XERO ACTUALS'!$T$5:$T$132,MATCH($A141,'XERO ACTUALS'!$A$5:$A$132,0))-$F141),INDEX('XERO ACTUALS'!$T$5:$T$132,MATCH($A141,'XERO ACTUALS'!$A$5:$A$132,0)))*IF($E141="",1,$E141),"")</f>
        <v>2439.542</v>
      </c>
      <c r="H141" s="40" t="n">
        <v>2182.67</v>
      </c>
      <c r="I141" s="26" t="s">
        <v>254</v>
      </c>
      <c r="J141" s="32"/>
      <c r="K141" s="27" t="n">
        <v>0</v>
      </c>
      <c r="L141" s="26" t="n">
        <v>1</v>
      </c>
      <c r="M141" s="26" t="n">
        <v>12</v>
      </c>
      <c r="N141" s="47" t="s">
        <v>255</v>
      </c>
      <c r="O141" s="18" t="n">
        <f aca="false">IF($N141="N",0,IF($A141="",0,(IF($J141&lt;&gt;"",$J141,IF($I141="BUDGET",IF($H141="",0,$H141),IF($G141="",0,$G141))))*(1+IF($K141="",0,$K141))))</f>
        <v>2439.542</v>
      </c>
      <c r="P141" s="17" t="n">
        <f aca="false">IF(AND(P$4&gt;=IF($L141="",1,$L141),P$4&lt;=IF($M141="",12,$M141)),$O141,0)</f>
        <v>2439.542</v>
      </c>
      <c r="Q141" s="17" t="n">
        <f aca="false">IF(AND(Q$4&gt;=IF($L141="",1,$L141),Q$4&lt;=IF($M141="",12,$M141)),$O141,0)</f>
        <v>2439.542</v>
      </c>
      <c r="R141" s="17" t="n">
        <f aca="false">IF(AND(R$4&gt;=IF($L141="",1,$L141),R$4&lt;=IF($M141="",12,$M141)),$O141,0)</f>
        <v>2439.542</v>
      </c>
      <c r="S141" s="17" t="n">
        <f aca="false">IF(AND(S$4&gt;=IF($L141="",1,$L141),S$4&lt;=IF($M141="",12,$M141)),$O141,0)</f>
        <v>2439.542</v>
      </c>
      <c r="T141" s="17" t="n">
        <f aca="false">IF(AND(T$4&gt;=IF($L141="",1,$L141),T$4&lt;=IF($M141="",12,$M141)),$O141,0)</f>
        <v>2439.542</v>
      </c>
      <c r="U141" s="17" t="n">
        <f aca="false">IF(AND(U$4&gt;=IF($L141="",1,$L141),U$4&lt;=IF($M141="",12,$M141)),$O141,0)</f>
        <v>2439.542</v>
      </c>
      <c r="V141" s="17" t="n">
        <f aca="false">IF(AND(V$4&gt;=IF($L141="",1,$L141),V$4&lt;=IF($M141="",12,$M141)),$O141,0)</f>
        <v>2439.542</v>
      </c>
      <c r="W141" s="17" t="n">
        <f aca="false">IF(AND(W$4&gt;=IF($L141="",1,$L141),W$4&lt;=IF($M141="",12,$M141)),$O141,0)</f>
        <v>2439.542</v>
      </c>
      <c r="X141" s="17" t="n">
        <f aca="false">IF(AND(X$4&gt;=IF($L141="",1,$L141),X$4&lt;=IF($M141="",12,$M141)),$O141,0)</f>
        <v>2439.542</v>
      </c>
      <c r="Y141" s="17" t="n">
        <f aca="false">IF(AND(Y$4&gt;=IF($L141="",1,$L141),Y$4&lt;=IF($M141="",12,$M141)),$O141,0)</f>
        <v>2439.542</v>
      </c>
      <c r="Z141" s="17" t="n">
        <f aca="false">IF(AND(Z$4&gt;=IF($L141="",1,$L141),Z$4&lt;=IF($M141="",12,$M141)),$O141,0)</f>
        <v>2439.542</v>
      </c>
      <c r="AA141" s="17" t="n">
        <f aca="false">IF(AND(AA$4&gt;=IF($L141="",1,$L141),AA$4&lt;=IF($M141="",12,$M141)),$O141,0)</f>
        <v>2439.542</v>
      </c>
      <c r="AB141" s="18" t="n">
        <f aca="false">SUM(P141:AA141)</f>
        <v>29274.504</v>
      </c>
    </row>
    <row r="142" customFormat="false" ht="15" hidden="false" customHeight="false" outlineLevel="0" collapsed="false">
      <c r="A142" s="42" t="s">
        <v>393</v>
      </c>
      <c r="B142" s="25" t="s">
        <v>71</v>
      </c>
      <c r="C142" s="43" t="s">
        <v>260</v>
      </c>
      <c r="D142" s="48" t="s">
        <v>261</v>
      </c>
      <c r="E142" s="45" t="n">
        <v>1</v>
      </c>
      <c r="F142" s="40"/>
      <c r="G142" s="46" t="n">
        <f aca="false">IFERROR(IF($F142&gt;0,MAX(0,INDEX('XERO ACTUALS'!$T$5:$T$132,MATCH($A142,'XERO ACTUALS'!$A$5:$A$132,0))-$F142),INDEX('XERO ACTUALS'!$T$5:$T$132,MATCH($A142,'XERO ACTUALS'!$A$5:$A$132,0)))*IF($E142="",1,$E142),"")</f>
        <v>125</v>
      </c>
      <c r="H142" s="40"/>
      <c r="I142" s="26" t="s">
        <v>254</v>
      </c>
      <c r="J142" s="32"/>
      <c r="K142" s="27" t="n">
        <v>0</v>
      </c>
      <c r="L142" s="26" t="n">
        <v>1</v>
      </c>
      <c r="M142" s="26" t="n">
        <v>12</v>
      </c>
      <c r="N142" s="47" t="s">
        <v>255</v>
      </c>
      <c r="O142" s="18" t="n">
        <f aca="false">IF($N142="N",0,IF($A142="",0,(IF($J142&lt;&gt;"",$J142,IF($I142="BUDGET",IF($H142="",0,$H142),IF($G142="",0,$G142))))*(1+IF($K142="",0,$K142))))</f>
        <v>125</v>
      </c>
      <c r="P142" s="17" t="n">
        <f aca="false">IF(AND(P$4&gt;=IF($L142="",1,$L142),P$4&lt;=IF($M142="",12,$M142)),$O142,0)</f>
        <v>125</v>
      </c>
      <c r="Q142" s="17" t="n">
        <f aca="false">IF(AND(Q$4&gt;=IF($L142="",1,$L142),Q$4&lt;=IF($M142="",12,$M142)),$O142,0)</f>
        <v>125</v>
      </c>
      <c r="R142" s="17" t="n">
        <f aca="false">IF(AND(R$4&gt;=IF($L142="",1,$L142),R$4&lt;=IF($M142="",12,$M142)),$O142,0)</f>
        <v>125</v>
      </c>
      <c r="S142" s="17" t="n">
        <f aca="false">IF(AND(S$4&gt;=IF($L142="",1,$L142),S$4&lt;=IF($M142="",12,$M142)),$O142,0)</f>
        <v>125</v>
      </c>
      <c r="T142" s="17" t="n">
        <f aca="false">IF(AND(T$4&gt;=IF($L142="",1,$L142),T$4&lt;=IF($M142="",12,$M142)),$O142,0)</f>
        <v>125</v>
      </c>
      <c r="U142" s="17" t="n">
        <f aca="false">IF(AND(U$4&gt;=IF($L142="",1,$L142),U$4&lt;=IF($M142="",12,$M142)),$O142,0)</f>
        <v>125</v>
      </c>
      <c r="V142" s="17" t="n">
        <f aca="false">IF(AND(V$4&gt;=IF($L142="",1,$L142),V$4&lt;=IF($M142="",12,$M142)),$O142,0)</f>
        <v>125</v>
      </c>
      <c r="W142" s="17" t="n">
        <f aca="false">IF(AND(W$4&gt;=IF($L142="",1,$L142),W$4&lt;=IF($M142="",12,$M142)),$O142,0)</f>
        <v>125</v>
      </c>
      <c r="X142" s="17" t="n">
        <f aca="false">IF(AND(X$4&gt;=IF($L142="",1,$L142),X$4&lt;=IF($M142="",12,$M142)),$O142,0)</f>
        <v>125</v>
      </c>
      <c r="Y142" s="17" t="n">
        <f aca="false">IF(AND(Y$4&gt;=IF($L142="",1,$L142),Y$4&lt;=IF($M142="",12,$M142)),$O142,0)</f>
        <v>125</v>
      </c>
      <c r="Z142" s="17" t="n">
        <f aca="false">IF(AND(Z$4&gt;=IF($L142="",1,$L142),Z$4&lt;=IF($M142="",12,$M142)),$O142,0)</f>
        <v>125</v>
      </c>
      <c r="AA142" s="17" t="n">
        <f aca="false">IF(AND(AA$4&gt;=IF($L142="",1,$L142),AA$4&lt;=IF($M142="",12,$M142)),$O142,0)</f>
        <v>125</v>
      </c>
      <c r="AB142" s="18" t="n">
        <f aca="false">SUM(P142:AA142)</f>
        <v>1500</v>
      </c>
    </row>
    <row r="143" customFormat="false" ht="15" hidden="false" customHeight="false" outlineLevel="0" collapsed="false">
      <c r="A143" s="42" t="s">
        <v>394</v>
      </c>
      <c r="B143" s="25" t="s">
        <v>71</v>
      </c>
      <c r="C143" s="43" t="s">
        <v>260</v>
      </c>
      <c r="D143" s="44" t="s">
        <v>253</v>
      </c>
      <c r="E143" s="45" t="n">
        <v>1</v>
      </c>
      <c r="F143" s="40"/>
      <c r="G143" s="46" t="n">
        <f aca="false">IFERROR(IF($F143&gt;0,MAX(0,INDEX('XERO ACTUALS'!$T$5:$T$132,MATCH($A143,'XERO ACTUALS'!$A$5:$A$132,0))-$F143),INDEX('XERO ACTUALS'!$T$5:$T$132,MATCH($A143,'XERO ACTUALS'!$A$5:$A$132,0)))*IF($E143="",1,$E143),"")</f>
        <v>96</v>
      </c>
      <c r="H143" s="40"/>
      <c r="I143" s="26" t="s">
        <v>254</v>
      </c>
      <c r="J143" s="32"/>
      <c r="K143" s="27" t="n">
        <v>0</v>
      </c>
      <c r="L143" s="26" t="n">
        <v>1</v>
      </c>
      <c r="M143" s="26" t="n">
        <v>12</v>
      </c>
      <c r="N143" s="47" t="s">
        <v>255</v>
      </c>
      <c r="O143" s="18" t="n">
        <f aca="false">IF($N143="N",0,IF($A143="",0,(IF($J143&lt;&gt;"",$J143,IF($I143="BUDGET",IF($H143="",0,$H143),IF($G143="",0,$G143))))*(1+IF($K143="",0,$K143))))</f>
        <v>96</v>
      </c>
      <c r="P143" s="17" t="n">
        <f aca="false">IF(AND(P$4&gt;=IF($L143="",1,$L143),P$4&lt;=IF($M143="",12,$M143)),$O143,0)</f>
        <v>96</v>
      </c>
      <c r="Q143" s="17" t="n">
        <f aca="false">IF(AND(Q$4&gt;=IF($L143="",1,$L143),Q$4&lt;=IF($M143="",12,$M143)),$O143,0)</f>
        <v>96</v>
      </c>
      <c r="R143" s="17" t="n">
        <f aca="false">IF(AND(R$4&gt;=IF($L143="",1,$L143),R$4&lt;=IF($M143="",12,$M143)),$O143,0)</f>
        <v>96</v>
      </c>
      <c r="S143" s="17" t="n">
        <f aca="false">IF(AND(S$4&gt;=IF($L143="",1,$L143),S$4&lt;=IF($M143="",12,$M143)),$O143,0)</f>
        <v>96</v>
      </c>
      <c r="T143" s="17" t="n">
        <f aca="false">IF(AND(T$4&gt;=IF($L143="",1,$L143),T$4&lt;=IF($M143="",12,$M143)),$O143,0)</f>
        <v>96</v>
      </c>
      <c r="U143" s="17" t="n">
        <f aca="false">IF(AND(U$4&gt;=IF($L143="",1,$L143),U$4&lt;=IF($M143="",12,$M143)),$O143,0)</f>
        <v>96</v>
      </c>
      <c r="V143" s="17" t="n">
        <f aca="false">IF(AND(V$4&gt;=IF($L143="",1,$L143),V$4&lt;=IF($M143="",12,$M143)),$O143,0)</f>
        <v>96</v>
      </c>
      <c r="W143" s="17" t="n">
        <f aca="false">IF(AND(W$4&gt;=IF($L143="",1,$L143),W$4&lt;=IF($M143="",12,$M143)),$O143,0)</f>
        <v>96</v>
      </c>
      <c r="X143" s="17" t="n">
        <f aca="false">IF(AND(X$4&gt;=IF($L143="",1,$L143),X$4&lt;=IF($M143="",12,$M143)),$O143,0)</f>
        <v>96</v>
      </c>
      <c r="Y143" s="17" t="n">
        <f aca="false">IF(AND(Y$4&gt;=IF($L143="",1,$L143),Y$4&lt;=IF($M143="",12,$M143)),$O143,0)</f>
        <v>96</v>
      </c>
      <c r="Z143" s="17" t="n">
        <f aca="false">IF(AND(Z$4&gt;=IF($L143="",1,$L143),Z$4&lt;=IF($M143="",12,$M143)),$O143,0)</f>
        <v>96</v>
      </c>
      <c r="AA143" s="17" t="n">
        <f aca="false">IF(AND(AA$4&gt;=IF($L143="",1,$L143),AA$4&lt;=IF($M143="",12,$M143)),$O143,0)</f>
        <v>96</v>
      </c>
      <c r="AB143" s="18" t="n">
        <f aca="false">SUM(P143:AA143)</f>
        <v>1152</v>
      </c>
    </row>
    <row r="144" customFormat="false" ht="15" hidden="false" customHeight="false" outlineLevel="0" collapsed="false">
      <c r="A144" s="42" t="s">
        <v>395</v>
      </c>
      <c r="B144" s="25" t="s">
        <v>71</v>
      </c>
      <c r="C144" s="43" t="s">
        <v>260</v>
      </c>
      <c r="D144" s="48" t="s">
        <v>261</v>
      </c>
      <c r="E144" s="45" t="n">
        <v>1</v>
      </c>
      <c r="F144" s="40"/>
      <c r="G144" s="46" t="n">
        <f aca="false">IFERROR(IF($F144&gt;0,MAX(0,INDEX('XERO ACTUALS'!$T$5:$T$132,MATCH($A144,'XERO ACTUALS'!$A$5:$A$132,0))-$F144),INDEX('XERO ACTUALS'!$T$5:$T$132,MATCH($A144,'XERO ACTUALS'!$A$5:$A$132,0)))*IF($E144="",1,$E144),"")</f>
        <v>42.5</v>
      </c>
      <c r="H144" s="40"/>
      <c r="I144" s="26" t="s">
        <v>254</v>
      </c>
      <c r="J144" s="32"/>
      <c r="K144" s="27" t="n">
        <v>0</v>
      </c>
      <c r="L144" s="26" t="n">
        <v>1</v>
      </c>
      <c r="M144" s="26" t="n">
        <v>12</v>
      </c>
      <c r="N144" s="47" t="s">
        <v>255</v>
      </c>
      <c r="O144" s="18" t="n">
        <f aca="false">IF($N144="N",0,IF($A144="",0,(IF($J144&lt;&gt;"",$J144,IF($I144="BUDGET",IF($H144="",0,$H144),IF($G144="",0,$G144))))*(1+IF($K144="",0,$K144))))</f>
        <v>42.5</v>
      </c>
      <c r="P144" s="17" t="n">
        <f aca="false">IF(AND(P$4&gt;=IF($L144="",1,$L144),P$4&lt;=IF($M144="",12,$M144)),$O144,0)</f>
        <v>42.5</v>
      </c>
      <c r="Q144" s="17" t="n">
        <f aca="false">IF(AND(Q$4&gt;=IF($L144="",1,$L144),Q$4&lt;=IF($M144="",12,$M144)),$O144,0)</f>
        <v>42.5</v>
      </c>
      <c r="R144" s="17" t="n">
        <f aca="false">IF(AND(R$4&gt;=IF($L144="",1,$L144),R$4&lt;=IF($M144="",12,$M144)),$O144,0)</f>
        <v>42.5</v>
      </c>
      <c r="S144" s="17" t="n">
        <f aca="false">IF(AND(S$4&gt;=IF($L144="",1,$L144),S$4&lt;=IF($M144="",12,$M144)),$O144,0)</f>
        <v>42.5</v>
      </c>
      <c r="T144" s="17" t="n">
        <f aca="false">IF(AND(T$4&gt;=IF($L144="",1,$L144),T$4&lt;=IF($M144="",12,$M144)),$O144,0)</f>
        <v>42.5</v>
      </c>
      <c r="U144" s="17" t="n">
        <f aca="false">IF(AND(U$4&gt;=IF($L144="",1,$L144),U$4&lt;=IF($M144="",12,$M144)),$O144,0)</f>
        <v>42.5</v>
      </c>
      <c r="V144" s="17" t="n">
        <f aca="false">IF(AND(V$4&gt;=IF($L144="",1,$L144),V$4&lt;=IF($M144="",12,$M144)),$O144,0)</f>
        <v>42.5</v>
      </c>
      <c r="W144" s="17" t="n">
        <f aca="false">IF(AND(W$4&gt;=IF($L144="",1,$L144),W$4&lt;=IF($M144="",12,$M144)),$O144,0)</f>
        <v>42.5</v>
      </c>
      <c r="X144" s="17" t="n">
        <f aca="false">IF(AND(X$4&gt;=IF($L144="",1,$L144),X$4&lt;=IF($M144="",12,$M144)),$O144,0)</f>
        <v>42.5</v>
      </c>
      <c r="Y144" s="17" t="n">
        <f aca="false">IF(AND(Y$4&gt;=IF($L144="",1,$L144),Y$4&lt;=IF($M144="",12,$M144)),$O144,0)</f>
        <v>42.5</v>
      </c>
      <c r="Z144" s="17" t="n">
        <f aca="false">IF(AND(Z$4&gt;=IF($L144="",1,$L144),Z$4&lt;=IF($M144="",12,$M144)),$O144,0)</f>
        <v>42.5</v>
      </c>
      <c r="AA144" s="17" t="n">
        <f aca="false">IF(AND(AA$4&gt;=IF($L144="",1,$L144),AA$4&lt;=IF($M144="",12,$M144)),$O144,0)</f>
        <v>42.5</v>
      </c>
      <c r="AB144" s="18" t="n">
        <f aca="false">SUM(P144:AA144)</f>
        <v>510</v>
      </c>
    </row>
    <row r="145" customFormat="false" ht="15" hidden="false" customHeight="false" outlineLevel="0" collapsed="false">
      <c r="A145" s="16" t="s">
        <v>396</v>
      </c>
      <c r="B145" s="25" t="s">
        <v>71</v>
      </c>
      <c r="C145" s="43" t="s">
        <v>264</v>
      </c>
      <c r="D145" s="44" t="s">
        <v>265</v>
      </c>
      <c r="E145" s="45"/>
      <c r="F145" s="40"/>
      <c r="G145" s="46"/>
      <c r="H145" s="40" t="n">
        <v>41.58</v>
      </c>
      <c r="I145" s="26" t="s">
        <v>266</v>
      </c>
      <c r="J145" s="32"/>
      <c r="K145" s="27" t="n">
        <v>0</v>
      </c>
      <c r="L145" s="26" t="n">
        <v>1</v>
      </c>
      <c r="M145" s="26" t="n">
        <v>12</v>
      </c>
      <c r="N145" s="47" t="s">
        <v>267</v>
      </c>
      <c r="O145" s="18" t="n">
        <f aca="false">IF($N145="N",0,IF($A145="",0,(IF($J145&lt;&gt;"",$J145,IF($I145="BUDGET",IF($H145="",0,$H145),IF($G145="",0,$G145))))*(1+IF($K145="",0,$K145))))</f>
        <v>0</v>
      </c>
      <c r="P145" s="17" t="n">
        <f aca="false">IF(AND(P$4&gt;=IF($L145="",1,$L145),P$4&lt;=IF($M145="",12,$M145)),$O145,0)</f>
        <v>0</v>
      </c>
      <c r="Q145" s="17" t="n">
        <f aca="false">IF(AND(Q$4&gt;=IF($L145="",1,$L145),Q$4&lt;=IF($M145="",12,$M145)),$O145,0)</f>
        <v>0</v>
      </c>
      <c r="R145" s="17" t="n">
        <f aca="false">IF(AND(R$4&gt;=IF($L145="",1,$L145),R$4&lt;=IF($M145="",12,$M145)),$O145,0)</f>
        <v>0</v>
      </c>
      <c r="S145" s="17" t="n">
        <f aca="false">IF(AND(S$4&gt;=IF($L145="",1,$L145),S$4&lt;=IF($M145="",12,$M145)),$O145,0)</f>
        <v>0</v>
      </c>
      <c r="T145" s="17" t="n">
        <f aca="false">IF(AND(T$4&gt;=IF($L145="",1,$L145),T$4&lt;=IF($M145="",12,$M145)),$O145,0)</f>
        <v>0</v>
      </c>
      <c r="U145" s="17" t="n">
        <f aca="false">IF(AND(U$4&gt;=IF($L145="",1,$L145),U$4&lt;=IF($M145="",12,$M145)),$O145,0)</f>
        <v>0</v>
      </c>
      <c r="V145" s="17" t="n">
        <f aca="false">IF(AND(V$4&gt;=IF($L145="",1,$L145),V$4&lt;=IF($M145="",12,$M145)),$O145,0)</f>
        <v>0</v>
      </c>
      <c r="W145" s="17" t="n">
        <f aca="false">IF(AND(W$4&gt;=IF($L145="",1,$L145),W$4&lt;=IF($M145="",12,$M145)),$O145,0)</f>
        <v>0</v>
      </c>
      <c r="X145" s="17" t="n">
        <f aca="false">IF(AND(X$4&gt;=IF($L145="",1,$L145),X$4&lt;=IF($M145="",12,$M145)),$O145,0)</f>
        <v>0</v>
      </c>
      <c r="Y145" s="17" t="n">
        <f aca="false">IF(AND(Y$4&gt;=IF($L145="",1,$L145),Y$4&lt;=IF($M145="",12,$M145)),$O145,0)</f>
        <v>0</v>
      </c>
      <c r="Z145" s="17" t="n">
        <f aca="false">IF(AND(Z$4&gt;=IF($L145="",1,$L145),Z$4&lt;=IF($M145="",12,$M145)),$O145,0)</f>
        <v>0</v>
      </c>
      <c r="AA145" s="17" t="n">
        <f aca="false">IF(AND(AA$4&gt;=IF($L145="",1,$L145),AA$4&lt;=IF($M145="",12,$M145)),$O145,0)</f>
        <v>0</v>
      </c>
      <c r="AB145" s="18" t="n">
        <f aca="false">SUM(P145:AA145)</f>
        <v>0</v>
      </c>
    </row>
    <row r="146" customFormat="false" ht="15" hidden="false" customHeight="false" outlineLevel="0" collapsed="false">
      <c r="A146" s="42" t="s">
        <v>397</v>
      </c>
      <c r="B146" s="25" t="s">
        <v>71</v>
      </c>
      <c r="C146" s="43" t="s">
        <v>260</v>
      </c>
      <c r="D146" s="44" t="s">
        <v>253</v>
      </c>
      <c r="E146" s="45" t="n">
        <v>1</v>
      </c>
      <c r="F146" s="40"/>
      <c r="G146" s="46" t="n">
        <f aca="false">IFERROR(IF($F146&gt;0,MAX(0,INDEX('XERO ACTUALS'!$T$5:$T$132,MATCH($A146,'XERO ACTUALS'!$A$5:$A$132,0))-$F146),INDEX('XERO ACTUALS'!$T$5:$T$132,MATCH($A146,'XERO ACTUALS'!$A$5:$A$132,0)))*IF($E146="",1,$E146),"")</f>
        <v>28.6166666666667</v>
      </c>
      <c r="H146" s="40"/>
      <c r="I146" s="26" t="s">
        <v>254</v>
      </c>
      <c r="J146" s="32"/>
      <c r="K146" s="27" t="n">
        <v>0</v>
      </c>
      <c r="L146" s="26" t="n">
        <v>1</v>
      </c>
      <c r="M146" s="26" t="n">
        <v>12</v>
      </c>
      <c r="N146" s="47" t="s">
        <v>255</v>
      </c>
      <c r="O146" s="18" t="n">
        <f aca="false">IF($N146="N",0,IF($A146="",0,(IF($J146&lt;&gt;"",$J146,IF($I146="BUDGET",IF($H146="",0,$H146),IF($G146="",0,$G146))))*(1+IF($K146="",0,$K146))))</f>
        <v>28.6166666666667</v>
      </c>
      <c r="P146" s="17" t="n">
        <f aca="false">IF(AND(P$4&gt;=IF($L146="",1,$L146),P$4&lt;=IF($M146="",12,$M146)),$O146,0)</f>
        <v>28.6166666666667</v>
      </c>
      <c r="Q146" s="17" t="n">
        <f aca="false">IF(AND(Q$4&gt;=IF($L146="",1,$L146),Q$4&lt;=IF($M146="",12,$M146)),$O146,0)</f>
        <v>28.6166666666667</v>
      </c>
      <c r="R146" s="17" t="n">
        <f aca="false">IF(AND(R$4&gt;=IF($L146="",1,$L146),R$4&lt;=IF($M146="",12,$M146)),$O146,0)</f>
        <v>28.6166666666667</v>
      </c>
      <c r="S146" s="17" t="n">
        <f aca="false">IF(AND(S$4&gt;=IF($L146="",1,$L146),S$4&lt;=IF($M146="",12,$M146)),$O146,0)</f>
        <v>28.6166666666667</v>
      </c>
      <c r="T146" s="17" t="n">
        <f aca="false">IF(AND(T$4&gt;=IF($L146="",1,$L146),T$4&lt;=IF($M146="",12,$M146)),$O146,0)</f>
        <v>28.6166666666667</v>
      </c>
      <c r="U146" s="17" t="n">
        <f aca="false">IF(AND(U$4&gt;=IF($L146="",1,$L146),U$4&lt;=IF($M146="",12,$M146)),$O146,0)</f>
        <v>28.6166666666667</v>
      </c>
      <c r="V146" s="17" t="n">
        <f aca="false">IF(AND(V$4&gt;=IF($L146="",1,$L146),V$4&lt;=IF($M146="",12,$M146)),$O146,0)</f>
        <v>28.6166666666667</v>
      </c>
      <c r="W146" s="17" t="n">
        <f aca="false">IF(AND(W$4&gt;=IF($L146="",1,$L146),W$4&lt;=IF($M146="",12,$M146)),$O146,0)</f>
        <v>28.6166666666667</v>
      </c>
      <c r="X146" s="17" t="n">
        <f aca="false">IF(AND(X$4&gt;=IF($L146="",1,$L146),X$4&lt;=IF($M146="",12,$M146)),$O146,0)</f>
        <v>28.6166666666667</v>
      </c>
      <c r="Y146" s="17" t="n">
        <f aca="false">IF(AND(Y$4&gt;=IF($L146="",1,$L146),Y$4&lt;=IF($M146="",12,$M146)),$O146,0)</f>
        <v>28.6166666666667</v>
      </c>
      <c r="Z146" s="17" t="n">
        <f aca="false">IF(AND(Z$4&gt;=IF($L146="",1,$L146),Z$4&lt;=IF($M146="",12,$M146)),$O146,0)</f>
        <v>28.6166666666667</v>
      </c>
      <c r="AA146" s="17" t="n">
        <f aca="false">IF(AND(AA$4&gt;=IF($L146="",1,$L146),AA$4&lt;=IF($M146="",12,$M146)),$O146,0)</f>
        <v>28.6166666666667</v>
      </c>
      <c r="AB146" s="18" t="n">
        <f aca="false">SUM(P146:AA146)</f>
        <v>343.4</v>
      </c>
    </row>
    <row r="147" customFormat="false" ht="15" hidden="false" customHeight="false" outlineLevel="0" collapsed="false">
      <c r="A147" s="42" t="s">
        <v>398</v>
      </c>
      <c r="B147" s="25" t="s">
        <v>71</v>
      </c>
      <c r="C147" s="43" t="s">
        <v>260</v>
      </c>
      <c r="D147" s="44" t="s">
        <v>253</v>
      </c>
      <c r="E147" s="45" t="n">
        <v>1</v>
      </c>
      <c r="F147" s="40"/>
      <c r="G147" s="46" t="n">
        <f aca="false">IFERROR(IF($F147&gt;0,MAX(0,INDEX('XERO ACTUALS'!$T$5:$T$132,MATCH($A147,'XERO ACTUALS'!$A$5:$A$132,0))-$F147),INDEX('XERO ACTUALS'!$T$5:$T$132,MATCH($A147,'XERO ACTUALS'!$A$5:$A$132,0)))*IF($E147="",1,$E147),"")</f>
        <v>23.3333333333333</v>
      </c>
      <c r="H147" s="40"/>
      <c r="I147" s="26" t="s">
        <v>254</v>
      </c>
      <c r="J147" s="32"/>
      <c r="K147" s="27" t="n">
        <v>0</v>
      </c>
      <c r="L147" s="26" t="n">
        <v>1</v>
      </c>
      <c r="M147" s="26" t="n">
        <v>12</v>
      </c>
      <c r="N147" s="47" t="s">
        <v>255</v>
      </c>
      <c r="O147" s="18" t="n">
        <f aca="false">IF($N147="N",0,IF($A147="",0,(IF($J147&lt;&gt;"",$J147,IF($I147="BUDGET",IF($H147="",0,$H147),IF($G147="",0,$G147))))*(1+IF($K147="",0,$K147))))</f>
        <v>23.3333333333333</v>
      </c>
      <c r="P147" s="17" t="n">
        <f aca="false">IF(AND(P$4&gt;=IF($L147="",1,$L147),P$4&lt;=IF($M147="",12,$M147)),$O147,0)</f>
        <v>23.3333333333333</v>
      </c>
      <c r="Q147" s="17" t="n">
        <f aca="false">IF(AND(Q$4&gt;=IF($L147="",1,$L147),Q$4&lt;=IF($M147="",12,$M147)),$O147,0)</f>
        <v>23.3333333333333</v>
      </c>
      <c r="R147" s="17" t="n">
        <f aca="false">IF(AND(R$4&gt;=IF($L147="",1,$L147),R$4&lt;=IF($M147="",12,$M147)),$O147,0)</f>
        <v>23.3333333333333</v>
      </c>
      <c r="S147" s="17" t="n">
        <f aca="false">IF(AND(S$4&gt;=IF($L147="",1,$L147),S$4&lt;=IF($M147="",12,$M147)),$O147,0)</f>
        <v>23.3333333333333</v>
      </c>
      <c r="T147" s="17" t="n">
        <f aca="false">IF(AND(T$4&gt;=IF($L147="",1,$L147),T$4&lt;=IF($M147="",12,$M147)),$O147,0)</f>
        <v>23.3333333333333</v>
      </c>
      <c r="U147" s="17" t="n">
        <f aca="false">IF(AND(U$4&gt;=IF($L147="",1,$L147),U$4&lt;=IF($M147="",12,$M147)),$O147,0)</f>
        <v>23.3333333333333</v>
      </c>
      <c r="V147" s="17" t="n">
        <f aca="false">IF(AND(V$4&gt;=IF($L147="",1,$L147),V$4&lt;=IF($M147="",12,$M147)),$O147,0)</f>
        <v>23.3333333333333</v>
      </c>
      <c r="W147" s="17" t="n">
        <f aca="false">IF(AND(W$4&gt;=IF($L147="",1,$L147),W$4&lt;=IF($M147="",12,$M147)),$O147,0)</f>
        <v>23.3333333333333</v>
      </c>
      <c r="X147" s="17" t="n">
        <f aca="false">IF(AND(X$4&gt;=IF($L147="",1,$L147),X$4&lt;=IF($M147="",12,$M147)),$O147,0)</f>
        <v>23.3333333333333</v>
      </c>
      <c r="Y147" s="17" t="n">
        <f aca="false">IF(AND(Y$4&gt;=IF($L147="",1,$L147),Y$4&lt;=IF($M147="",12,$M147)),$O147,0)</f>
        <v>23.3333333333333</v>
      </c>
      <c r="Z147" s="17" t="n">
        <f aca="false">IF(AND(Z$4&gt;=IF($L147="",1,$L147),Z$4&lt;=IF($M147="",12,$M147)),$O147,0)</f>
        <v>23.3333333333333</v>
      </c>
      <c r="AA147" s="17" t="n">
        <f aca="false">IF(AND(AA$4&gt;=IF($L147="",1,$L147),AA$4&lt;=IF($M147="",12,$M147)),$O147,0)</f>
        <v>23.3333333333333</v>
      </c>
      <c r="AB147" s="18" t="n">
        <f aca="false">SUM(P147:AA147)</f>
        <v>280</v>
      </c>
    </row>
    <row r="148" customFormat="false" ht="15" hidden="false" customHeight="false" outlineLevel="0" collapsed="false">
      <c r="A148" s="42" t="s">
        <v>399</v>
      </c>
      <c r="B148" s="25" t="s">
        <v>71</v>
      </c>
      <c r="C148" s="43" t="s">
        <v>260</v>
      </c>
      <c r="D148" s="50" t="s">
        <v>285</v>
      </c>
      <c r="E148" s="45" t="n">
        <v>1</v>
      </c>
      <c r="F148" s="40"/>
      <c r="G148" s="46" t="n">
        <f aca="false">IFERROR(IF($F148&gt;0,MAX(0,INDEX('XERO ACTUALS'!$T$5:$T$132,MATCH($A148,'XERO ACTUALS'!$A$5:$A$132,0))-$F148),INDEX('XERO ACTUALS'!$T$5:$T$132,MATCH($A148,'XERO ACTUALS'!$A$5:$A$132,0)))*IF($E148="",1,$E148),"")</f>
        <v>20.1891265272097</v>
      </c>
      <c r="H148" s="40"/>
      <c r="I148" s="26" t="s">
        <v>254</v>
      </c>
      <c r="J148" s="32"/>
      <c r="K148" s="27" t="n">
        <v>0</v>
      </c>
      <c r="L148" s="26" t="n">
        <v>1</v>
      </c>
      <c r="M148" s="26" t="n">
        <v>12</v>
      </c>
      <c r="N148" s="47" t="s">
        <v>267</v>
      </c>
      <c r="O148" s="18" t="n">
        <f aca="false">IF($N148="N",0,IF($A148="",0,(IF($J148&lt;&gt;"",$J148,IF($I148="BUDGET",IF($H148="",0,$H148),IF($G148="",0,$G148))))*(1+IF($K148="",0,$K148))))</f>
        <v>0</v>
      </c>
      <c r="P148" s="17" t="n">
        <f aca="false">IF(AND(P$4&gt;=IF($L148="",1,$L148),P$4&lt;=IF($M148="",12,$M148)),$O148,0)</f>
        <v>0</v>
      </c>
      <c r="Q148" s="17" t="n">
        <f aca="false">IF(AND(Q$4&gt;=IF($L148="",1,$L148),Q$4&lt;=IF($M148="",12,$M148)),$O148,0)</f>
        <v>0</v>
      </c>
      <c r="R148" s="17" t="n">
        <f aca="false">IF(AND(R$4&gt;=IF($L148="",1,$L148),R$4&lt;=IF($M148="",12,$M148)),$O148,0)</f>
        <v>0</v>
      </c>
      <c r="S148" s="17" t="n">
        <f aca="false">IF(AND(S$4&gt;=IF($L148="",1,$L148),S$4&lt;=IF($M148="",12,$M148)),$O148,0)</f>
        <v>0</v>
      </c>
      <c r="T148" s="17" t="n">
        <f aca="false">IF(AND(T$4&gt;=IF($L148="",1,$L148),T$4&lt;=IF($M148="",12,$M148)),$O148,0)</f>
        <v>0</v>
      </c>
      <c r="U148" s="17" t="n">
        <f aca="false">IF(AND(U$4&gt;=IF($L148="",1,$L148),U$4&lt;=IF($M148="",12,$M148)),$O148,0)</f>
        <v>0</v>
      </c>
      <c r="V148" s="17" t="n">
        <f aca="false">IF(AND(V$4&gt;=IF($L148="",1,$L148),V$4&lt;=IF($M148="",12,$M148)),$O148,0)</f>
        <v>0</v>
      </c>
      <c r="W148" s="17" t="n">
        <f aca="false">IF(AND(W$4&gt;=IF($L148="",1,$L148),W$4&lt;=IF($M148="",12,$M148)),$O148,0)</f>
        <v>0</v>
      </c>
      <c r="X148" s="17" t="n">
        <f aca="false">IF(AND(X$4&gt;=IF($L148="",1,$L148),X$4&lt;=IF($M148="",12,$M148)),$O148,0)</f>
        <v>0</v>
      </c>
      <c r="Y148" s="17" t="n">
        <f aca="false">IF(AND(Y$4&gt;=IF($L148="",1,$L148),Y$4&lt;=IF($M148="",12,$M148)),$O148,0)</f>
        <v>0</v>
      </c>
      <c r="Z148" s="17" t="n">
        <f aca="false">IF(AND(Z$4&gt;=IF($L148="",1,$L148),Z$4&lt;=IF($M148="",12,$M148)),$O148,0)</f>
        <v>0</v>
      </c>
      <c r="AA148" s="17" t="n">
        <f aca="false">IF(AND(AA$4&gt;=IF($L148="",1,$L148),AA$4&lt;=IF($M148="",12,$M148)),$O148,0)</f>
        <v>0</v>
      </c>
      <c r="AB148" s="18" t="n">
        <f aca="false">SUM(P148:AA148)</f>
        <v>0</v>
      </c>
    </row>
    <row r="149" customFormat="false" ht="15" hidden="false" customHeight="false" outlineLevel="0" collapsed="false">
      <c r="A149" s="42" t="s">
        <v>400</v>
      </c>
      <c r="B149" s="25" t="s">
        <v>72</v>
      </c>
      <c r="C149" s="43" t="s">
        <v>260</v>
      </c>
      <c r="D149" s="44" t="s">
        <v>253</v>
      </c>
      <c r="E149" s="45" t="n">
        <v>1</v>
      </c>
      <c r="F149" s="40"/>
      <c r="G149" s="46" t="n">
        <f aca="false">IFERROR(IF($F149&gt;0,MAX(0,INDEX('XERO ACTUALS'!$T$5:$T$132,MATCH($A149,'XERO ACTUALS'!$A$5:$A$132,0))-$F149),INDEX('XERO ACTUALS'!$T$5:$T$132,MATCH($A149,'XERO ACTUALS'!$A$5:$A$132,0)))*IF($E149="",1,$E149),"")</f>
        <v>15820</v>
      </c>
      <c r="H149" s="40"/>
      <c r="I149" s="26" t="s">
        <v>254</v>
      </c>
      <c r="J149" s="32"/>
      <c r="K149" s="27" t="n">
        <v>0</v>
      </c>
      <c r="L149" s="26" t="n">
        <v>1</v>
      </c>
      <c r="M149" s="26" t="n">
        <v>12</v>
      </c>
      <c r="N149" s="47" t="s">
        <v>255</v>
      </c>
      <c r="O149" s="18" t="n">
        <f aca="false">IF($N149="N",0,IF($A149="",0,(IF($J149&lt;&gt;"",$J149,IF($I149="BUDGET",IF($H149="",0,$H149),IF($G149="",0,$G149))))*(1+IF($K149="",0,$K149))))</f>
        <v>15820</v>
      </c>
      <c r="P149" s="17" t="n">
        <f aca="false">IF(AND(P$4&gt;=IF($L149="",1,$L149),P$4&lt;=IF($M149="",12,$M149)),$O149,0)</f>
        <v>15820</v>
      </c>
      <c r="Q149" s="17" t="n">
        <f aca="false">IF(AND(Q$4&gt;=IF($L149="",1,$L149),Q$4&lt;=IF($M149="",12,$M149)),$O149,0)</f>
        <v>15820</v>
      </c>
      <c r="R149" s="17" t="n">
        <f aca="false">IF(AND(R$4&gt;=IF($L149="",1,$L149),R$4&lt;=IF($M149="",12,$M149)),$O149,0)</f>
        <v>15820</v>
      </c>
      <c r="S149" s="17" t="n">
        <f aca="false">IF(AND(S$4&gt;=IF($L149="",1,$L149),S$4&lt;=IF($M149="",12,$M149)),$O149,0)</f>
        <v>15820</v>
      </c>
      <c r="T149" s="17" t="n">
        <f aca="false">IF(AND(T$4&gt;=IF($L149="",1,$L149),T$4&lt;=IF($M149="",12,$M149)),$O149,0)</f>
        <v>15820</v>
      </c>
      <c r="U149" s="17" t="n">
        <f aca="false">IF(AND(U$4&gt;=IF($L149="",1,$L149),U$4&lt;=IF($M149="",12,$M149)),$O149,0)</f>
        <v>15820</v>
      </c>
      <c r="V149" s="17" t="n">
        <f aca="false">IF(AND(V$4&gt;=IF($L149="",1,$L149),V$4&lt;=IF($M149="",12,$M149)),$O149,0)</f>
        <v>15820</v>
      </c>
      <c r="W149" s="17" t="n">
        <f aca="false">IF(AND(W$4&gt;=IF($L149="",1,$L149),W$4&lt;=IF($M149="",12,$M149)),$O149,0)</f>
        <v>15820</v>
      </c>
      <c r="X149" s="17" t="n">
        <f aca="false">IF(AND(X$4&gt;=IF($L149="",1,$L149),X$4&lt;=IF($M149="",12,$M149)),$O149,0)</f>
        <v>15820</v>
      </c>
      <c r="Y149" s="17" t="n">
        <f aca="false">IF(AND(Y$4&gt;=IF($L149="",1,$L149),Y$4&lt;=IF($M149="",12,$M149)),$O149,0)</f>
        <v>15820</v>
      </c>
      <c r="Z149" s="17" t="n">
        <f aca="false">IF(AND(Z$4&gt;=IF($L149="",1,$L149),Z$4&lt;=IF($M149="",12,$M149)),$O149,0)</f>
        <v>15820</v>
      </c>
      <c r="AA149" s="17" t="n">
        <f aca="false">IF(AND(AA$4&gt;=IF($L149="",1,$L149),AA$4&lt;=IF($M149="",12,$M149)),$O149,0)</f>
        <v>15820</v>
      </c>
      <c r="AB149" s="18" t="n">
        <f aca="false">SUM(P149:AA149)</f>
        <v>189840</v>
      </c>
    </row>
    <row r="150" customFormat="false" ht="15" hidden="false" customHeight="false" outlineLevel="0" collapsed="false">
      <c r="A150" s="42" t="s">
        <v>401</v>
      </c>
      <c r="B150" s="25" t="s">
        <v>72</v>
      </c>
      <c r="C150" s="43" t="s">
        <v>260</v>
      </c>
      <c r="D150" s="44" t="s">
        <v>253</v>
      </c>
      <c r="E150" s="45" t="n">
        <v>1</v>
      </c>
      <c r="F150" s="40"/>
      <c r="G150" s="46" t="n">
        <f aca="false">IFERROR(IF($F150&gt;0,MAX(0,INDEX('XERO ACTUALS'!$T$5:$T$132,MATCH($A150,'XERO ACTUALS'!$A$5:$A$132,0))-$F150),INDEX('XERO ACTUALS'!$T$5:$T$132,MATCH($A150,'XERO ACTUALS'!$A$5:$A$132,0)))*IF($E150="",1,$E150),"")</f>
        <v>4800</v>
      </c>
      <c r="H150" s="40"/>
      <c r="I150" s="26" t="s">
        <v>254</v>
      </c>
      <c r="J150" s="32"/>
      <c r="K150" s="27" t="n">
        <v>0</v>
      </c>
      <c r="L150" s="26" t="n">
        <v>1</v>
      </c>
      <c r="M150" s="26" t="n">
        <v>12</v>
      </c>
      <c r="N150" s="47" t="s">
        <v>255</v>
      </c>
      <c r="O150" s="18" t="n">
        <f aca="false">IF($N150="N",0,IF($A150="",0,(IF($J150&lt;&gt;"",$J150,IF($I150="BUDGET",IF($H150="",0,$H150),IF($G150="",0,$G150))))*(1+IF($K150="",0,$K150))))</f>
        <v>4800</v>
      </c>
      <c r="P150" s="17" t="n">
        <f aca="false">IF(AND(P$4&gt;=IF($L150="",1,$L150),P$4&lt;=IF($M150="",12,$M150)),$O150,0)</f>
        <v>4800</v>
      </c>
      <c r="Q150" s="17" t="n">
        <f aca="false">IF(AND(Q$4&gt;=IF($L150="",1,$L150),Q$4&lt;=IF($M150="",12,$M150)),$O150,0)</f>
        <v>4800</v>
      </c>
      <c r="R150" s="17" t="n">
        <f aca="false">IF(AND(R$4&gt;=IF($L150="",1,$L150),R$4&lt;=IF($M150="",12,$M150)),$O150,0)</f>
        <v>4800</v>
      </c>
      <c r="S150" s="17" t="n">
        <f aca="false">IF(AND(S$4&gt;=IF($L150="",1,$L150),S$4&lt;=IF($M150="",12,$M150)),$O150,0)</f>
        <v>4800</v>
      </c>
      <c r="T150" s="17" t="n">
        <f aca="false">IF(AND(T$4&gt;=IF($L150="",1,$L150),T$4&lt;=IF($M150="",12,$M150)),$O150,0)</f>
        <v>4800</v>
      </c>
      <c r="U150" s="17" t="n">
        <f aca="false">IF(AND(U$4&gt;=IF($L150="",1,$L150),U$4&lt;=IF($M150="",12,$M150)),$O150,0)</f>
        <v>4800</v>
      </c>
      <c r="V150" s="17" t="n">
        <f aca="false">IF(AND(V$4&gt;=IF($L150="",1,$L150),V$4&lt;=IF($M150="",12,$M150)),$O150,0)</f>
        <v>4800</v>
      </c>
      <c r="W150" s="17" t="n">
        <f aca="false">IF(AND(W$4&gt;=IF($L150="",1,$L150),W$4&lt;=IF($M150="",12,$M150)),$O150,0)</f>
        <v>4800</v>
      </c>
      <c r="X150" s="17" t="n">
        <f aca="false">IF(AND(X$4&gt;=IF($L150="",1,$L150),X$4&lt;=IF($M150="",12,$M150)),$O150,0)</f>
        <v>4800</v>
      </c>
      <c r="Y150" s="17" t="n">
        <f aca="false">IF(AND(Y$4&gt;=IF($L150="",1,$L150),Y$4&lt;=IF($M150="",12,$M150)),$O150,0)</f>
        <v>4800</v>
      </c>
      <c r="Z150" s="17" t="n">
        <f aca="false">IF(AND(Z$4&gt;=IF($L150="",1,$L150),Z$4&lt;=IF($M150="",12,$M150)),$O150,0)</f>
        <v>4800</v>
      </c>
      <c r="AA150" s="17" t="n">
        <f aca="false">IF(AND(AA$4&gt;=IF($L150="",1,$L150),AA$4&lt;=IF($M150="",12,$M150)),$O150,0)</f>
        <v>4800</v>
      </c>
      <c r="AB150" s="18" t="n">
        <f aca="false">SUM(P150:AA150)</f>
        <v>57600</v>
      </c>
    </row>
    <row r="151" customFormat="false" ht="15" hidden="false" customHeight="false" outlineLevel="0" collapsed="false">
      <c r="A151" s="42" t="s">
        <v>402</v>
      </c>
      <c r="B151" s="25" t="s">
        <v>72</v>
      </c>
      <c r="C151" s="43" t="s">
        <v>260</v>
      </c>
      <c r="D151" s="44" t="s">
        <v>253</v>
      </c>
      <c r="E151" s="45" t="n">
        <v>1</v>
      </c>
      <c r="F151" s="40"/>
      <c r="G151" s="46" t="n">
        <f aca="false">IFERROR(IF($F151&gt;0,MAX(0,INDEX('XERO ACTUALS'!$T$5:$T$132,MATCH($A151,'XERO ACTUALS'!$A$5:$A$132,0))-$F151),INDEX('XERO ACTUALS'!$T$5:$T$132,MATCH($A151,'XERO ACTUALS'!$A$5:$A$132,0)))*IF($E151="",1,$E151),"")</f>
        <v>-1892.92333333333</v>
      </c>
      <c r="H151" s="40"/>
      <c r="I151" s="26" t="s">
        <v>254</v>
      </c>
      <c r="J151" s="32"/>
      <c r="K151" s="27" t="n">
        <v>0</v>
      </c>
      <c r="L151" s="26" t="n">
        <v>1</v>
      </c>
      <c r="M151" s="26" t="n">
        <v>12</v>
      </c>
      <c r="N151" s="47" t="s">
        <v>255</v>
      </c>
      <c r="O151" s="18" t="n">
        <f aca="false">IF($N151="N",0,IF($A151="",0,(IF($J151&lt;&gt;"",$J151,IF($I151="BUDGET",IF($H151="",0,$H151),IF($G151="",0,$G151))))*(1+IF($K151="",0,$K151))))</f>
        <v>-1892.92333333333</v>
      </c>
      <c r="P151" s="17" t="n">
        <f aca="false">IF(AND(P$4&gt;=IF($L151="",1,$L151),P$4&lt;=IF($M151="",12,$M151)),$O151,0)</f>
        <v>-1892.92333333333</v>
      </c>
      <c r="Q151" s="17" t="n">
        <f aca="false">IF(AND(Q$4&gt;=IF($L151="",1,$L151),Q$4&lt;=IF($M151="",12,$M151)),$O151,0)</f>
        <v>-1892.92333333333</v>
      </c>
      <c r="R151" s="17" t="n">
        <f aca="false">IF(AND(R$4&gt;=IF($L151="",1,$L151),R$4&lt;=IF($M151="",12,$M151)),$O151,0)</f>
        <v>-1892.92333333333</v>
      </c>
      <c r="S151" s="17" t="n">
        <f aca="false">IF(AND(S$4&gt;=IF($L151="",1,$L151),S$4&lt;=IF($M151="",12,$M151)),$O151,0)</f>
        <v>-1892.92333333333</v>
      </c>
      <c r="T151" s="17" t="n">
        <f aca="false">IF(AND(T$4&gt;=IF($L151="",1,$L151),T$4&lt;=IF($M151="",12,$M151)),$O151,0)</f>
        <v>-1892.92333333333</v>
      </c>
      <c r="U151" s="17" t="n">
        <f aca="false">IF(AND(U$4&gt;=IF($L151="",1,$L151),U$4&lt;=IF($M151="",12,$M151)),$O151,0)</f>
        <v>-1892.92333333333</v>
      </c>
      <c r="V151" s="17" t="n">
        <f aca="false">IF(AND(V$4&gt;=IF($L151="",1,$L151),V$4&lt;=IF($M151="",12,$M151)),$O151,0)</f>
        <v>-1892.92333333333</v>
      </c>
      <c r="W151" s="17" t="n">
        <f aca="false">IF(AND(W$4&gt;=IF($L151="",1,$L151),W$4&lt;=IF($M151="",12,$M151)),$O151,0)</f>
        <v>-1892.92333333333</v>
      </c>
      <c r="X151" s="17" t="n">
        <f aca="false">IF(AND(X$4&gt;=IF($L151="",1,$L151),X$4&lt;=IF($M151="",12,$M151)),$O151,0)</f>
        <v>-1892.92333333333</v>
      </c>
      <c r="Y151" s="17" t="n">
        <f aca="false">IF(AND(Y$4&gt;=IF($L151="",1,$L151),Y$4&lt;=IF($M151="",12,$M151)),$O151,0)</f>
        <v>-1892.92333333333</v>
      </c>
      <c r="Z151" s="17" t="n">
        <f aca="false">IF(AND(Z$4&gt;=IF($L151="",1,$L151),Z$4&lt;=IF($M151="",12,$M151)),$O151,0)</f>
        <v>-1892.92333333333</v>
      </c>
      <c r="AA151" s="17" t="n">
        <f aca="false">IF(AND(AA$4&gt;=IF($L151="",1,$L151),AA$4&lt;=IF($M151="",12,$M151)),$O151,0)</f>
        <v>-1892.92333333333</v>
      </c>
      <c r="AB151" s="18" t="n">
        <f aca="false">SUM(P151:AA151)</f>
        <v>-22715.08</v>
      </c>
    </row>
    <row r="152" customFormat="false" ht="15" hidden="false" customHeight="false" outlineLevel="0" collapsed="false">
      <c r="A152" s="42" t="s">
        <v>403</v>
      </c>
      <c r="B152" s="25" t="s">
        <v>72</v>
      </c>
      <c r="C152" s="43" t="s">
        <v>260</v>
      </c>
      <c r="D152" s="53" t="s">
        <v>384</v>
      </c>
      <c r="E152" s="45" t="n">
        <v>1</v>
      </c>
      <c r="F152" s="40"/>
      <c r="G152" s="46" t="n">
        <f aca="false">IFERROR(IF($F152&gt;0,MAX(0,INDEX('XERO ACTUALS'!$T$5:$T$132,MATCH($A152,'XERO ACTUALS'!$A$5:$A$132,0))-$F152),INDEX('XERO ACTUALS'!$T$5:$T$132,MATCH($A152,'XERO ACTUALS'!$A$5:$A$132,0)))*IF($E152="",1,$E152),"")</f>
        <v>1782.16666666667</v>
      </c>
      <c r="H152" s="40"/>
      <c r="I152" s="26" t="s">
        <v>254</v>
      </c>
      <c r="J152" s="32"/>
      <c r="K152" s="27" t="n">
        <v>0</v>
      </c>
      <c r="L152" s="26" t="n">
        <v>1</v>
      </c>
      <c r="M152" s="26" t="n">
        <v>12</v>
      </c>
      <c r="N152" s="47" t="s">
        <v>255</v>
      </c>
      <c r="O152" s="18" t="n">
        <f aca="false">IF($N152="N",0,IF($A152="",0,(IF($J152&lt;&gt;"",$J152,IF($I152="BUDGET",IF($H152="",0,$H152),IF($G152="",0,$G152))))*(1+IF($K152="",0,$K152))))</f>
        <v>1782.16666666667</v>
      </c>
      <c r="P152" s="17" t="n">
        <f aca="false">IF(AND(P$4&gt;=IF($L152="",1,$L152),P$4&lt;=IF($M152="",12,$M152)),$O152,0)</f>
        <v>1782.16666666667</v>
      </c>
      <c r="Q152" s="17" t="n">
        <f aca="false">IF(AND(Q$4&gt;=IF($L152="",1,$L152),Q$4&lt;=IF($M152="",12,$M152)),$O152,0)</f>
        <v>1782.16666666667</v>
      </c>
      <c r="R152" s="17" t="n">
        <f aca="false">IF(AND(R$4&gt;=IF($L152="",1,$L152),R$4&lt;=IF($M152="",12,$M152)),$O152,0)</f>
        <v>1782.16666666667</v>
      </c>
      <c r="S152" s="17" t="n">
        <f aca="false">IF(AND(S$4&gt;=IF($L152="",1,$L152),S$4&lt;=IF($M152="",12,$M152)),$O152,0)</f>
        <v>1782.16666666667</v>
      </c>
      <c r="T152" s="17" t="n">
        <f aca="false">IF(AND(T$4&gt;=IF($L152="",1,$L152),T$4&lt;=IF($M152="",12,$M152)),$O152,0)</f>
        <v>1782.16666666667</v>
      </c>
      <c r="U152" s="17" t="n">
        <f aca="false">IF(AND(U$4&gt;=IF($L152="",1,$L152),U$4&lt;=IF($M152="",12,$M152)),$O152,0)</f>
        <v>1782.16666666667</v>
      </c>
      <c r="V152" s="17" t="n">
        <f aca="false">IF(AND(V$4&gt;=IF($L152="",1,$L152),V$4&lt;=IF($M152="",12,$M152)),$O152,0)</f>
        <v>1782.16666666667</v>
      </c>
      <c r="W152" s="17" t="n">
        <f aca="false">IF(AND(W$4&gt;=IF($L152="",1,$L152),W$4&lt;=IF($M152="",12,$M152)),$O152,0)</f>
        <v>1782.16666666667</v>
      </c>
      <c r="X152" s="17" t="n">
        <f aca="false">IF(AND(X$4&gt;=IF($L152="",1,$L152),X$4&lt;=IF($M152="",12,$M152)),$O152,0)</f>
        <v>1782.16666666667</v>
      </c>
      <c r="Y152" s="17" t="n">
        <f aca="false">IF(AND(Y$4&gt;=IF($L152="",1,$L152),Y$4&lt;=IF($M152="",12,$M152)),$O152,0)</f>
        <v>1782.16666666667</v>
      </c>
      <c r="Z152" s="17" t="n">
        <f aca="false">IF(AND(Z$4&gt;=IF($L152="",1,$L152),Z$4&lt;=IF($M152="",12,$M152)),$O152,0)</f>
        <v>1782.16666666667</v>
      </c>
      <c r="AA152" s="17" t="n">
        <f aca="false">IF(AND(AA$4&gt;=IF($L152="",1,$L152),AA$4&lt;=IF($M152="",12,$M152)),$O152,0)</f>
        <v>1782.16666666667</v>
      </c>
      <c r="AB152" s="18" t="n">
        <f aca="false">SUM(P152:AA152)</f>
        <v>21386</v>
      </c>
    </row>
    <row r="153" customFormat="false" ht="15" hidden="false" customHeight="false" outlineLevel="0" collapsed="false">
      <c r="A153" s="42" t="s">
        <v>404</v>
      </c>
      <c r="B153" s="25" t="s">
        <v>72</v>
      </c>
      <c r="C153" s="43" t="s">
        <v>260</v>
      </c>
      <c r="D153" s="50" t="s">
        <v>285</v>
      </c>
      <c r="E153" s="45" t="n">
        <v>1</v>
      </c>
      <c r="F153" s="40"/>
      <c r="G153" s="46" t="n">
        <f aca="false">IFERROR(IF($F153&gt;0,MAX(0,INDEX('XERO ACTUALS'!$T$5:$T$132,MATCH($A153,'XERO ACTUALS'!$A$5:$A$132,0))-$F153),INDEX('XERO ACTUALS'!$T$5:$T$132,MATCH($A153,'XERO ACTUALS'!$A$5:$A$132,0)))*IF($E153="",1,$E153),"")</f>
        <v>997.082345585745</v>
      </c>
      <c r="H153" s="40"/>
      <c r="I153" s="26" t="s">
        <v>254</v>
      </c>
      <c r="J153" s="32"/>
      <c r="K153" s="27" t="n">
        <v>0</v>
      </c>
      <c r="L153" s="26" t="n">
        <v>1</v>
      </c>
      <c r="M153" s="26" t="n">
        <v>12</v>
      </c>
      <c r="N153" s="47" t="s">
        <v>267</v>
      </c>
      <c r="O153" s="18" t="n">
        <f aca="false">IF($N153="N",0,IF($A153="",0,(IF($J153&lt;&gt;"",$J153,IF($I153="BUDGET",IF($H153="",0,$H153),IF($G153="",0,$G153))))*(1+IF($K153="",0,$K153))))</f>
        <v>0</v>
      </c>
      <c r="P153" s="17" t="n">
        <f aca="false">IF(AND(P$4&gt;=IF($L153="",1,$L153),P$4&lt;=IF($M153="",12,$M153)),$O153,0)</f>
        <v>0</v>
      </c>
      <c r="Q153" s="17" t="n">
        <f aca="false">IF(AND(Q$4&gt;=IF($L153="",1,$L153),Q$4&lt;=IF($M153="",12,$M153)),$O153,0)</f>
        <v>0</v>
      </c>
      <c r="R153" s="17" t="n">
        <f aca="false">IF(AND(R$4&gt;=IF($L153="",1,$L153),R$4&lt;=IF($M153="",12,$M153)),$O153,0)</f>
        <v>0</v>
      </c>
      <c r="S153" s="17" t="n">
        <f aca="false">IF(AND(S$4&gt;=IF($L153="",1,$L153),S$4&lt;=IF($M153="",12,$M153)),$O153,0)</f>
        <v>0</v>
      </c>
      <c r="T153" s="17" t="n">
        <f aca="false">IF(AND(T$4&gt;=IF($L153="",1,$L153),T$4&lt;=IF($M153="",12,$M153)),$O153,0)</f>
        <v>0</v>
      </c>
      <c r="U153" s="17" t="n">
        <f aca="false">IF(AND(U$4&gt;=IF($L153="",1,$L153),U$4&lt;=IF($M153="",12,$M153)),$O153,0)</f>
        <v>0</v>
      </c>
      <c r="V153" s="17" t="n">
        <f aca="false">IF(AND(V$4&gt;=IF($L153="",1,$L153),V$4&lt;=IF($M153="",12,$M153)),$O153,0)</f>
        <v>0</v>
      </c>
      <c r="W153" s="17" t="n">
        <f aca="false">IF(AND(W$4&gt;=IF($L153="",1,$L153),W$4&lt;=IF($M153="",12,$M153)),$O153,0)</f>
        <v>0</v>
      </c>
      <c r="X153" s="17" t="n">
        <f aca="false">IF(AND(X$4&gt;=IF($L153="",1,$L153),X$4&lt;=IF($M153="",12,$M153)),$O153,0)</f>
        <v>0</v>
      </c>
      <c r="Y153" s="17" t="n">
        <f aca="false">IF(AND(Y$4&gt;=IF($L153="",1,$L153),Y$4&lt;=IF($M153="",12,$M153)),$O153,0)</f>
        <v>0</v>
      </c>
      <c r="Z153" s="17" t="n">
        <f aca="false">IF(AND(Z$4&gt;=IF($L153="",1,$L153),Z$4&lt;=IF($M153="",12,$M153)),$O153,0)</f>
        <v>0</v>
      </c>
      <c r="AA153" s="17" t="n">
        <f aca="false">IF(AND(AA$4&gt;=IF($L153="",1,$L153),AA$4&lt;=IF($M153="",12,$M153)),$O153,0)</f>
        <v>0</v>
      </c>
      <c r="AB153" s="18" t="n">
        <f aca="false">SUM(P153:AA153)</f>
        <v>0</v>
      </c>
    </row>
    <row r="154" customFormat="false" ht="15" hidden="false" customHeight="false" outlineLevel="0" collapsed="false">
      <c r="A154" s="42" t="s">
        <v>405</v>
      </c>
      <c r="B154" s="25" t="s">
        <v>72</v>
      </c>
      <c r="C154" s="43" t="s">
        <v>260</v>
      </c>
      <c r="D154" s="50" t="s">
        <v>285</v>
      </c>
      <c r="E154" s="45" t="n">
        <v>1</v>
      </c>
      <c r="F154" s="40"/>
      <c r="G154" s="46" t="n">
        <f aca="false">IFERROR(IF($F154&gt;0,MAX(0,INDEX('XERO ACTUALS'!$T$5:$T$132,MATCH($A154,'XERO ACTUALS'!$A$5:$A$132,0))-$F154),INDEX('XERO ACTUALS'!$T$5:$T$132,MATCH($A154,'XERO ACTUALS'!$A$5:$A$132,0)))*IF($E154="",1,$E154),"")</f>
        <v>956.704092531326</v>
      </c>
      <c r="H154" s="40"/>
      <c r="I154" s="26" t="s">
        <v>254</v>
      </c>
      <c r="J154" s="32"/>
      <c r="K154" s="27" t="n">
        <v>0</v>
      </c>
      <c r="L154" s="26" t="n">
        <v>1</v>
      </c>
      <c r="M154" s="26" t="n">
        <v>12</v>
      </c>
      <c r="N154" s="47" t="s">
        <v>267</v>
      </c>
      <c r="O154" s="18" t="n">
        <f aca="false">IF($N154="N",0,IF($A154="",0,(IF($J154&lt;&gt;"",$J154,IF($I154="BUDGET",IF($H154="",0,$H154),IF($G154="",0,$G154))))*(1+IF($K154="",0,$K154))))</f>
        <v>0</v>
      </c>
      <c r="P154" s="17" t="n">
        <f aca="false">IF(AND(P$4&gt;=IF($L154="",1,$L154),P$4&lt;=IF($M154="",12,$M154)),$O154,0)</f>
        <v>0</v>
      </c>
      <c r="Q154" s="17" t="n">
        <f aca="false">IF(AND(Q$4&gt;=IF($L154="",1,$L154),Q$4&lt;=IF($M154="",12,$M154)),$O154,0)</f>
        <v>0</v>
      </c>
      <c r="R154" s="17" t="n">
        <f aca="false">IF(AND(R$4&gt;=IF($L154="",1,$L154),R$4&lt;=IF($M154="",12,$M154)),$O154,0)</f>
        <v>0</v>
      </c>
      <c r="S154" s="17" t="n">
        <f aca="false">IF(AND(S$4&gt;=IF($L154="",1,$L154),S$4&lt;=IF($M154="",12,$M154)),$O154,0)</f>
        <v>0</v>
      </c>
      <c r="T154" s="17" t="n">
        <f aca="false">IF(AND(T$4&gt;=IF($L154="",1,$L154),T$4&lt;=IF($M154="",12,$M154)),$O154,0)</f>
        <v>0</v>
      </c>
      <c r="U154" s="17" t="n">
        <f aca="false">IF(AND(U$4&gt;=IF($L154="",1,$L154),U$4&lt;=IF($M154="",12,$M154)),$O154,0)</f>
        <v>0</v>
      </c>
      <c r="V154" s="17" t="n">
        <f aca="false">IF(AND(V$4&gt;=IF($L154="",1,$L154),V$4&lt;=IF($M154="",12,$M154)),$O154,0)</f>
        <v>0</v>
      </c>
      <c r="W154" s="17" t="n">
        <f aca="false">IF(AND(W$4&gt;=IF($L154="",1,$L154),W$4&lt;=IF($M154="",12,$M154)),$O154,0)</f>
        <v>0</v>
      </c>
      <c r="X154" s="17" t="n">
        <f aca="false">IF(AND(X$4&gt;=IF($L154="",1,$L154),X$4&lt;=IF($M154="",12,$M154)),$O154,0)</f>
        <v>0</v>
      </c>
      <c r="Y154" s="17" t="n">
        <f aca="false">IF(AND(Y$4&gt;=IF($L154="",1,$L154),Y$4&lt;=IF($M154="",12,$M154)),$O154,0)</f>
        <v>0</v>
      </c>
      <c r="Z154" s="17" t="n">
        <f aca="false">IF(AND(Z$4&gt;=IF($L154="",1,$L154),Z$4&lt;=IF($M154="",12,$M154)),$O154,0)</f>
        <v>0</v>
      </c>
      <c r="AA154" s="17" t="n">
        <f aca="false">IF(AND(AA$4&gt;=IF($L154="",1,$L154),AA$4&lt;=IF($M154="",12,$M154)),$O154,0)</f>
        <v>0</v>
      </c>
      <c r="AB154" s="18" t="n">
        <f aca="false">SUM(P154:AA154)</f>
        <v>0</v>
      </c>
    </row>
    <row r="155" customFormat="false" ht="15" hidden="false" customHeight="false" outlineLevel="0" collapsed="false">
      <c r="A155" s="42" t="s">
        <v>406</v>
      </c>
      <c r="B155" s="25" t="s">
        <v>72</v>
      </c>
      <c r="C155" s="43" t="s">
        <v>260</v>
      </c>
      <c r="D155" s="44" t="s">
        <v>253</v>
      </c>
      <c r="E155" s="45" t="n">
        <v>1</v>
      </c>
      <c r="F155" s="40"/>
      <c r="G155" s="46" t="n">
        <f aca="false">IFERROR(IF($F155&gt;0,MAX(0,INDEX('XERO ACTUALS'!$T$5:$T$132,MATCH($A155,'XERO ACTUALS'!$A$5:$A$132,0))-$F155),INDEX('XERO ACTUALS'!$T$5:$T$132,MATCH($A155,'XERO ACTUALS'!$A$5:$A$132,0)))*IF($E155="",1,$E155),"")</f>
        <v>746.006666666667</v>
      </c>
      <c r="H155" s="40"/>
      <c r="I155" s="26" t="s">
        <v>254</v>
      </c>
      <c r="J155" s="32"/>
      <c r="K155" s="27" t="n">
        <v>0</v>
      </c>
      <c r="L155" s="26" t="n">
        <v>1</v>
      </c>
      <c r="M155" s="26" t="n">
        <v>12</v>
      </c>
      <c r="N155" s="47" t="s">
        <v>255</v>
      </c>
      <c r="O155" s="18" t="n">
        <f aca="false">IF($N155="N",0,IF($A155="",0,(IF($J155&lt;&gt;"",$J155,IF($I155="BUDGET",IF($H155="",0,$H155),IF($G155="",0,$G155))))*(1+IF($K155="",0,$K155))))</f>
        <v>746.006666666667</v>
      </c>
      <c r="P155" s="17" t="n">
        <f aca="false">IF(AND(P$4&gt;=IF($L155="",1,$L155),P$4&lt;=IF($M155="",12,$M155)),$O155,0)</f>
        <v>746.006666666667</v>
      </c>
      <c r="Q155" s="17" t="n">
        <f aca="false">IF(AND(Q$4&gt;=IF($L155="",1,$L155),Q$4&lt;=IF($M155="",12,$M155)),$O155,0)</f>
        <v>746.006666666667</v>
      </c>
      <c r="R155" s="17" t="n">
        <f aca="false">IF(AND(R$4&gt;=IF($L155="",1,$L155),R$4&lt;=IF($M155="",12,$M155)),$O155,0)</f>
        <v>746.006666666667</v>
      </c>
      <c r="S155" s="17" t="n">
        <f aca="false">IF(AND(S$4&gt;=IF($L155="",1,$L155),S$4&lt;=IF($M155="",12,$M155)),$O155,0)</f>
        <v>746.006666666667</v>
      </c>
      <c r="T155" s="17" t="n">
        <f aca="false">IF(AND(T$4&gt;=IF($L155="",1,$L155),T$4&lt;=IF($M155="",12,$M155)),$O155,0)</f>
        <v>746.006666666667</v>
      </c>
      <c r="U155" s="17" t="n">
        <f aca="false">IF(AND(U$4&gt;=IF($L155="",1,$L155),U$4&lt;=IF($M155="",12,$M155)),$O155,0)</f>
        <v>746.006666666667</v>
      </c>
      <c r="V155" s="17" t="n">
        <f aca="false">IF(AND(V$4&gt;=IF($L155="",1,$L155),V$4&lt;=IF($M155="",12,$M155)),$O155,0)</f>
        <v>746.006666666667</v>
      </c>
      <c r="W155" s="17" t="n">
        <f aca="false">IF(AND(W$4&gt;=IF($L155="",1,$L155),W$4&lt;=IF($M155="",12,$M155)),$O155,0)</f>
        <v>746.006666666667</v>
      </c>
      <c r="X155" s="17" t="n">
        <f aca="false">IF(AND(X$4&gt;=IF($L155="",1,$L155),X$4&lt;=IF($M155="",12,$M155)),$O155,0)</f>
        <v>746.006666666667</v>
      </c>
      <c r="Y155" s="17" t="n">
        <f aca="false">IF(AND(Y$4&gt;=IF($L155="",1,$L155),Y$4&lt;=IF($M155="",12,$M155)),$O155,0)</f>
        <v>746.006666666667</v>
      </c>
      <c r="Z155" s="17" t="n">
        <f aca="false">IF(AND(Z$4&gt;=IF($L155="",1,$L155),Z$4&lt;=IF($M155="",12,$M155)),$O155,0)</f>
        <v>746.006666666667</v>
      </c>
      <c r="AA155" s="17" t="n">
        <f aca="false">IF(AND(AA$4&gt;=IF($L155="",1,$L155),AA$4&lt;=IF($M155="",12,$M155)),$O155,0)</f>
        <v>746.006666666667</v>
      </c>
      <c r="AB155" s="18" t="n">
        <f aca="false">SUM(P155:AA155)</f>
        <v>8952.08</v>
      </c>
    </row>
    <row r="156" customFormat="false" ht="15" hidden="false" customHeight="false" outlineLevel="0" collapsed="false">
      <c r="A156" s="42" t="s">
        <v>407</v>
      </c>
      <c r="B156" s="25" t="s">
        <v>72</v>
      </c>
      <c r="C156" s="43" t="s">
        <v>260</v>
      </c>
      <c r="D156" s="48" t="s">
        <v>261</v>
      </c>
      <c r="E156" s="45" t="n">
        <v>1</v>
      </c>
      <c r="F156" s="40"/>
      <c r="G156" s="46" t="n">
        <f aca="false">IFERROR(IF($F156&gt;0,MAX(0,INDEX('XERO ACTUALS'!$T$5:$T$132,MATCH($A156,'XERO ACTUALS'!$A$5:$A$132,0))-$F156),INDEX('XERO ACTUALS'!$T$5:$T$132,MATCH($A156,'XERO ACTUALS'!$A$5:$A$132,0)))*IF($E156="",1,$E156),"")</f>
        <v>445.44</v>
      </c>
      <c r="H156" s="40"/>
      <c r="I156" s="26" t="s">
        <v>254</v>
      </c>
      <c r="J156" s="32"/>
      <c r="K156" s="27" t="n">
        <v>0</v>
      </c>
      <c r="L156" s="26" t="n">
        <v>1</v>
      </c>
      <c r="M156" s="26" t="n">
        <v>12</v>
      </c>
      <c r="N156" s="47" t="s">
        <v>255</v>
      </c>
      <c r="O156" s="18" t="n">
        <f aca="false">IF($N156="N",0,IF($A156="",0,(IF($J156&lt;&gt;"",$J156,IF($I156="BUDGET",IF($H156="",0,$H156),IF($G156="",0,$G156))))*(1+IF($K156="",0,$K156))))</f>
        <v>445.44</v>
      </c>
      <c r="P156" s="17" t="n">
        <f aca="false">IF(AND(P$4&gt;=IF($L156="",1,$L156),P$4&lt;=IF($M156="",12,$M156)),$O156,0)</f>
        <v>445.44</v>
      </c>
      <c r="Q156" s="17" t="n">
        <f aca="false">IF(AND(Q$4&gt;=IF($L156="",1,$L156),Q$4&lt;=IF($M156="",12,$M156)),$O156,0)</f>
        <v>445.44</v>
      </c>
      <c r="R156" s="17" t="n">
        <f aca="false">IF(AND(R$4&gt;=IF($L156="",1,$L156),R$4&lt;=IF($M156="",12,$M156)),$O156,0)</f>
        <v>445.44</v>
      </c>
      <c r="S156" s="17" t="n">
        <f aca="false">IF(AND(S$4&gt;=IF($L156="",1,$L156),S$4&lt;=IF($M156="",12,$M156)),$O156,0)</f>
        <v>445.44</v>
      </c>
      <c r="T156" s="17" t="n">
        <f aca="false">IF(AND(T$4&gt;=IF($L156="",1,$L156),T$4&lt;=IF($M156="",12,$M156)),$O156,0)</f>
        <v>445.44</v>
      </c>
      <c r="U156" s="17" t="n">
        <f aca="false">IF(AND(U$4&gt;=IF($L156="",1,$L156),U$4&lt;=IF($M156="",12,$M156)),$O156,0)</f>
        <v>445.44</v>
      </c>
      <c r="V156" s="17" t="n">
        <f aca="false">IF(AND(V$4&gt;=IF($L156="",1,$L156),V$4&lt;=IF($M156="",12,$M156)),$O156,0)</f>
        <v>445.44</v>
      </c>
      <c r="W156" s="17" t="n">
        <f aca="false">IF(AND(W$4&gt;=IF($L156="",1,$L156),W$4&lt;=IF($M156="",12,$M156)),$O156,0)</f>
        <v>445.44</v>
      </c>
      <c r="X156" s="17" t="n">
        <f aca="false">IF(AND(X$4&gt;=IF($L156="",1,$L156),X$4&lt;=IF($M156="",12,$M156)),$O156,0)</f>
        <v>445.44</v>
      </c>
      <c r="Y156" s="17" t="n">
        <f aca="false">IF(AND(Y$4&gt;=IF($L156="",1,$L156),Y$4&lt;=IF($M156="",12,$M156)),$O156,0)</f>
        <v>445.44</v>
      </c>
      <c r="Z156" s="17" t="n">
        <f aca="false">IF(AND(Z$4&gt;=IF($L156="",1,$L156),Z$4&lt;=IF($M156="",12,$M156)),$O156,0)</f>
        <v>445.44</v>
      </c>
      <c r="AA156" s="17" t="n">
        <f aca="false">IF(AND(AA$4&gt;=IF($L156="",1,$L156),AA$4&lt;=IF($M156="",12,$M156)),$O156,0)</f>
        <v>445.44</v>
      </c>
      <c r="AB156" s="18" t="n">
        <f aca="false">SUM(P156:AA156)</f>
        <v>5345.28</v>
      </c>
    </row>
    <row r="157" customFormat="false" ht="15" hidden="false" customHeight="false" outlineLevel="0" collapsed="false">
      <c r="A157" s="42" t="s">
        <v>408</v>
      </c>
      <c r="B157" s="25" t="s">
        <v>72</v>
      </c>
      <c r="C157" s="43" t="s">
        <v>260</v>
      </c>
      <c r="D157" s="48" t="s">
        <v>261</v>
      </c>
      <c r="E157" s="45" t="n">
        <v>1</v>
      </c>
      <c r="F157" s="40"/>
      <c r="G157" s="46" t="n">
        <f aca="false">IFERROR(IF($F157&gt;0,MAX(0,INDEX('XERO ACTUALS'!$T$5:$T$132,MATCH($A157,'XERO ACTUALS'!$A$5:$A$132,0))-$F157),INDEX('XERO ACTUALS'!$T$5:$T$132,MATCH($A157,'XERO ACTUALS'!$A$5:$A$132,0)))*IF($E157="",1,$E157),"")</f>
        <v>440</v>
      </c>
      <c r="H157" s="40"/>
      <c r="I157" s="26" t="s">
        <v>254</v>
      </c>
      <c r="J157" s="32"/>
      <c r="K157" s="27" t="n">
        <v>0</v>
      </c>
      <c r="L157" s="26" t="n">
        <v>1</v>
      </c>
      <c r="M157" s="26" t="n">
        <v>12</v>
      </c>
      <c r="N157" s="47" t="s">
        <v>255</v>
      </c>
      <c r="O157" s="18" t="n">
        <f aca="false">IF($N157="N",0,IF($A157="",0,(IF($J157&lt;&gt;"",$J157,IF($I157="BUDGET",IF($H157="",0,$H157),IF($G157="",0,$G157))))*(1+IF($K157="",0,$K157))))</f>
        <v>440</v>
      </c>
      <c r="P157" s="17" t="n">
        <f aca="false">IF(AND(P$4&gt;=IF($L157="",1,$L157),P$4&lt;=IF($M157="",12,$M157)),$O157,0)</f>
        <v>440</v>
      </c>
      <c r="Q157" s="17" t="n">
        <f aca="false">IF(AND(Q$4&gt;=IF($L157="",1,$L157),Q$4&lt;=IF($M157="",12,$M157)),$O157,0)</f>
        <v>440</v>
      </c>
      <c r="R157" s="17" t="n">
        <f aca="false">IF(AND(R$4&gt;=IF($L157="",1,$L157),R$4&lt;=IF($M157="",12,$M157)),$O157,0)</f>
        <v>440</v>
      </c>
      <c r="S157" s="17" t="n">
        <f aca="false">IF(AND(S$4&gt;=IF($L157="",1,$L157),S$4&lt;=IF($M157="",12,$M157)),$O157,0)</f>
        <v>440</v>
      </c>
      <c r="T157" s="17" t="n">
        <f aca="false">IF(AND(T$4&gt;=IF($L157="",1,$L157),T$4&lt;=IF($M157="",12,$M157)),$O157,0)</f>
        <v>440</v>
      </c>
      <c r="U157" s="17" t="n">
        <f aca="false">IF(AND(U$4&gt;=IF($L157="",1,$L157),U$4&lt;=IF($M157="",12,$M157)),$O157,0)</f>
        <v>440</v>
      </c>
      <c r="V157" s="17" t="n">
        <f aca="false">IF(AND(V$4&gt;=IF($L157="",1,$L157),V$4&lt;=IF($M157="",12,$M157)),$O157,0)</f>
        <v>440</v>
      </c>
      <c r="W157" s="17" t="n">
        <f aca="false">IF(AND(W$4&gt;=IF($L157="",1,$L157),W$4&lt;=IF($M157="",12,$M157)),$O157,0)</f>
        <v>440</v>
      </c>
      <c r="X157" s="17" t="n">
        <f aca="false">IF(AND(X$4&gt;=IF($L157="",1,$L157),X$4&lt;=IF($M157="",12,$M157)),$O157,0)</f>
        <v>440</v>
      </c>
      <c r="Y157" s="17" t="n">
        <f aca="false">IF(AND(Y$4&gt;=IF($L157="",1,$L157),Y$4&lt;=IF($M157="",12,$M157)),$O157,0)</f>
        <v>440</v>
      </c>
      <c r="Z157" s="17" t="n">
        <f aca="false">IF(AND(Z$4&gt;=IF($L157="",1,$L157),Z$4&lt;=IF($M157="",12,$M157)),$O157,0)</f>
        <v>440</v>
      </c>
      <c r="AA157" s="17" t="n">
        <f aca="false">IF(AND(AA$4&gt;=IF($L157="",1,$L157),AA$4&lt;=IF($M157="",12,$M157)),$O157,0)</f>
        <v>440</v>
      </c>
      <c r="AB157" s="18" t="n">
        <f aca="false">SUM(P157:AA157)</f>
        <v>5280</v>
      </c>
    </row>
    <row r="158" customFormat="false" ht="15" hidden="false" customHeight="false" outlineLevel="0" collapsed="false">
      <c r="A158" s="42" t="s">
        <v>409</v>
      </c>
      <c r="B158" s="25" t="s">
        <v>72</v>
      </c>
      <c r="C158" s="43" t="s">
        <v>260</v>
      </c>
      <c r="D158" s="44" t="s">
        <v>253</v>
      </c>
      <c r="E158" s="45" t="n">
        <v>1</v>
      </c>
      <c r="F158" s="40"/>
      <c r="G158" s="46" t="n">
        <f aca="false">IFERROR(IF($F158&gt;0,MAX(0,INDEX('XERO ACTUALS'!$T$5:$T$132,MATCH($A158,'XERO ACTUALS'!$A$5:$A$132,0))-$F158),INDEX('XERO ACTUALS'!$T$5:$T$132,MATCH($A158,'XERO ACTUALS'!$A$5:$A$132,0)))*IF($E158="",1,$E158),"")</f>
        <v>376.08</v>
      </c>
      <c r="H158" s="40"/>
      <c r="I158" s="26" t="s">
        <v>254</v>
      </c>
      <c r="J158" s="32"/>
      <c r="K158" s="27" t="n">
        <v>0</v>
      </c>
      <c r="L158" s="26" t="n">
        <v>1</v>
      </c>
      <c r="M158" s="26" t="n">
        <v>12</v>
      </c>
      <c r="N158" s="47" t="s">
        <v>255</v>
      </c>
      <c r="O158" s="18" t="n">
        <f aca="false">IF($N158="N",0,IF($A158="",0,(IF($J158&lt;&gt;"",$J158,IF($I158="BUDGET",IF($H158="",0,$H158),IF($G158="",0,$G158))))*(1+IF($K158="",0,$K158))))</f>
        <v>376.08</v>
      </c>
      <c r="P158" s="17" t="n">
        <f aca="false">IF(AND(P$4&gt;=IF($L158="",1,$L158),P$4&lt;=IF($M158="",12,$M158)),$O158,0)</f>
        <v>376.08</v>
      </c>
      <c r="Q158" s="17" t="n">
        <f aca="false">IF(AND(Q$4&gt;=IF($L158="",1,$L158),Q$4&lt;=IF($M158="",12,$M158)),$O158,0)</f>
        <v>376.08</v>
      </c>
      <c r="R158" s="17" t="n">
        <f aca="false">IF(AND(R$4&gt;=IF($L158="",1,$L158),R$4&lt;=IF($M158="",12,$M158)),$O158,0)</f>
        <v>376.08</v>
      </c>
      <c r="S158" s="17" t="n">
        <f aca="false">IF(AND(S$4&gt;=IF($L158="",1,$L158),S$4&lt;=IF($M158="",12,$M158)),$O158,0)</f>
        <v>376.08</v>
      </c>
      <c r="T158" s="17" t="n">
        <f aca="false">IF(AND(T$4&gt;=IF($L158="",1,$L158),T$4&lt;=IF($M158="",12,$M158)),$O158,0)</f>
        <v>376.08</v>
      </c>
      <c r="U158" s="17" t="n">
        <f aca="false">IF(AND(U$4&gt;=IF($L158="",1,$L158),U$4&lt;=IF($M158="",12,$M158)),$O158,0)</f>
        <v>376.08</v>
      </c>
      <c r="V158" s="17" t="n">
        <f aca="false">IF(AND(V$4&gt;=IF($L158="",1,$L158),V$4&lt;=IF($M158="",12,$M158)),$O158,0)</f>
        <v>376.08</v>
      </c>
      <c r="W158" s="17" t="n">
        <f aca="false">IF(AND(W$4&gt;=IF($L158="",1,$L158),W$4&lt;=IF($M158="",12,$M158)),$O158,0)</f>
        <v>376.08</v>
      </c>
      <c r="X158" s="17" t="n">
        <f aca="false">IF(AND(X$4&gt;=IF($L158="",1,$L158),X$4&lt;=IF($M158="",12,$M158)),$O158,0)</f>
        <v>376.08</v>
      </c>
      <c r="Y158" s="17" t="n">
        <f aca="false">IF(AND(Y$4&gt;=IF($L158="",1,$L158),Y$4&lt;=IF($M158="",12,$M158)),$O158,0)</f>
        <v>376.08</v>
      </c>
      <c r="Z158" s="17" t="n">
        <f aca="false">IF(AND(Z$4&gt;=IF($L158="",1,$L158),Z$4&lt;=IF($M158="",12,$M158)),$O158,0)</f>
        <v>376.08</v>
      </c>
      <c r="AA158" s="17" t="n">
        <f aca="false">IF(AND(AA$4&gt;=IF($L158="",1,$L158),AA$4&lt;=IF($M158="",12,$M158)),$O158,0)</f>
        <v>376.08</v>
      </c>
      <c r="AB158" s="18" t="n">
        <f aca="false">SUM(P158:AA158)</f>
        <v>4512.96</v>
      </c>
    </row>
    <row r="159" customFormat="false" ht="15" hidden="false" customHeight="false" outlineLevel="0" collapsed="false">
      <c r="A159" s="42" t="s">
        <v>410</v>
      </c>
      <c r="B159" s="25" t="s">
        <v>72</v>
      </c>
      <c r="C159" s="43" t="s">
        <v>260</v>
      </c>
      <c r="D159" s="50" t="s">
        <v>285</v>
      </c>
      <c r="E159" s="45" t="n">
        <v>1</v>
      </c>
      <c r="F159" s="40"/>
      <c r="G159" s="46" t="n">
        <f aca="false">IFERROR(IF($F159&gt;0,MAX(0,INDEX('XERO ACTUALS'!$T$5:$T$132,MATCH($A159,'XERO ACTUALS'!$A$5:$A$132,0))-$F159),INDEX('XERO ACTUALS'!$T$5:$T$132,MATCH($A159,'XERO ACTUALS'!$A$5:$A$132,0)))*IF($E159="",1,$E159),"")</f>
        <v>-260.50485841561</v>
      </c>
      <c r="H159" s="40"/>
      <c r="I159" s="26" t="s">
        <v>254</v>
      </c>
      <c r="J159" s="32"/>
      <c r="K159" s="27" t="n">
        <v>0</v>
      </c>
      <c r="L159" s="26" t="n">
        <v>1</v>
      </c>
      <c r="M159" s="26" t="n">
        <v>12</v>
      </c>
      <c r="N159" s="47" t="s">
        <v>267</v>
      </c>
      <c r="O159" s="18" t="n">
        <f aca="false">IF($N159="N",0,IF($A159="",0,(IF($J159&lt;&gt;"",$J159,IF($I159="BUDGET",IF($H159="",0,$H159),IF($G159="",0,$G159))))*(1+IF($K159="",0,$K159))))</f>
        <v>0</v>
      </c>
      <c r="P159" s="17" t="n">
        <f aca="false">IF(AND(P$4&gt;=IF($L159="",1,$L159),P$4&lt;=IF($M159="",12,$M159)),$O159,0)</f>
        <v>0</v>
      </c>
      <c r="Q159" s="17" t="n">
        <f aca="false">IF(AND(Q$4&gt;=IF($L159="",1,$L159),Q$4&lt;=IF($M159="",12,$M159)),$O159,0)</f>
        <v>0</v>
      </c>
      <c r="R159" s="17" t="n">
        <f aca="false">IF(AND(R$4&gt;=IF($L159="",1,$L159),R$4&lt;=IF($M159="",12,$M159)),$O159,0)</f>
        <v>0</v>
      </c>
      <c r="S159" s="17" t="n">
        <f aca="false">IF(AND(S$4&gt;=IF($L159="",1,$L159),S$4&lt;=IF($M159="",12,$M159)),$O159,0)</f>
        <v>0</v>
      </c>
      <c r="T159" s="17" t="n">
        <f aca="false">IF(AND(T$4&gt;=IF($L159="",1,$L159),T$4&lt;=IF($M159="",12,$M159)),$O159,0)</f>
        <v>0</v>
      </c>
      <c r="U159" s="17" t="n">
        <f aca="false">IF(AND(U$4&gt;=IF($L159="",1,$L159),U$4&lt;=IF($M159="",12,$M159)),$O159,0)</f>
        <v>0</v>
      </c>
      <c r="V159" s="17" t="n">
        <f aca="false">IF(AND(V$4&gt;=IF($L159="",1,$L159),V$4&lt;=IF($M159="",12,$M159)),$O159,0)</f>
        <v>0</v>
      </c>
      <c r="W159" s="17" t="n">
        <f aca="false">IF(AND(W$4&gt;=IF($L159="",1,$L159),W$4&lt;=IF($M159="",12,$M159)),$O159,0)</f>
        <v>0</v>
      </c>
      <c r="X159" s="17" t="n">
        <f aca="false">IF(AND(X$4&gt;=IF($L159="",1,$L159),X$4&lt;=IF($M159="",12,$M159)),$O159,0)</f>
        <v>0</v>
      </c>
      <c r="Y159" s="17" t="n">
        <f aca="false">IF(AND(Y$4&gt;=IF($L159="",1,$L159),Y$4&lt;=IF($M159="",12,$M159)),$O159,0)</f>
        <v>0</v>
      </c>
      <c r="Z159" s="17" t="n">
        <f aca="false">IF(AND(Z$4&gt;=IF($L159="",1,$L159),Z$4&lt;=IF($M159="",12,$M159)),$O159,0)</f>
        <v>0</v>
      </c>
      <c r="AA159" s="17" t="n">
        <f aca="false">IF(AND(AA$4&gt;=IF($L159="",1,$L159),AA$4&lt;=IF($M159="",12,$M159)),$O159,0)</f>
        <v>0</v>
      </c>
      <c r="AB159" s="18" t="n">
        <f aca="false">SUM(P159:AA159)</f>
        <v>0</v>
      </c>
    </row>
    <row r="160" customFormat="false" ht="15" hidden="false" customHeight="false" outlineLevel="0" collapsed="false">
      <c r="A160" s="42" t="s">
        <v>411</v>
      </c>
      <c r="B160" s="25" t="s">
        <v>72</v>
      </c>
      <c r="C160" s="43" t="s">
        <v>260</v>
      </c>
      <c r="D160" s="50" t="s">
        <v>285</v>
      </c>
      <c r="E160" s="45" t="n">
        <v>1</v>
      </c>
      <c r="F160" s="40"/>
      <c r="G160" s="46" t="n">
        <f aca="false">IFERROR(IF($F160&gt;0,MAX(0,INDEX('XERO ACTUALS'!$T$5:$T$132,MATCH($A160,'XERO ACTUALS'!$A$5:$A$132,0))-$F160),INDEX('XERO ACTUALS'!$T$5:$T$132,MATCH($A160,'XERO ACTUALS'!$A$5:$A$132,0)))*IF($E160="",1,$E160),"")</f>
        <v>253.988329382343</v>
      </c>
      <c r="H160" s="40"/>
      <c r="I160" s="26" t="s">
        <v>254</v>
      </c>
      <c r="J160" s="32"/>
      <c r="K160" s="27" t="n">
        <v>0</v>
      </c>
      <c r="L160" s="26" t="n">
        <v>1</v>
      </c>
      <c r="M160" s="26" t="n">
        <v>12</v>
      </c>
      <c r="N160" s="47" t="s">
        <v>267</v>
      </c>
      <c r="O160" s="18" t="n">
        <f aca="false">IF($N160="N",0,IF($A160="",0,(IF($J160&lt;&gt;"",$J160,IF($I160="BUDGET",IF($H160="",0,$H160),IF($G160="",0,$G160))))*(1+IF($K160="",0,$K160))))</f>
        <v>0</v>
      </c>
      <c r="P160" s="17" t="n">
        <f aca="false">IF(AND(P$4&gt;=IF($L160="",1,$L160),P$4&lt;=IF($M160="",12,$M160)),$O160,0)</f>
        <v>0</v>
      </c>
      <c r="Q160" s="17" t="n">
        <f aca="false">IF(AND(Q$4&gt;=IF($L160="",1,$L160),Q$4&lt;=IF($M160="",12,$M160)),$O160,0)</f>
        <v>0</v>
      </c>
      <c r="R160" s="17" t="n">
        <f aca="false">IF(AND(R$4&gt;=IF($L160="",1,$L160),R$4&lt;=IF($M160="",12,$M160)),$O160,0)</f>
        <v>0</v>
      </c>
      <c r="S160" s="17" t="n">
        <f aca="false">IF(AND(S$4&gt;=IF($L160="",1,$L160),S$4&lt;=IF($M160="",12,$M160)),$O160,0)</f>
        <v>0</v>
      </c>
      <c r="T160" s="17" t="n">
        <f aca="false">IF(AND(T$4&gt;=IF($L160="",1,$L160),T$4&lt;=IF($M160="",12,$M160)),$O160,0)</f>
        <v>0</v>
      </c>
      <c r="U160" s="17" t="n">
        <f aca="false">IF(AND(U$4&gt;=IF($L160="",1,$L160),U$4&lt;=IF($M160="",12,$M160)),$O160,0)</f>
        <v>0</v>
      </c>
      <c r="V160" s="17" t="n">
        <f aca="false">IF(AND(V$4&gt;=IF($L160="",1,$L160),V$4&lt;=IF($M160="",12,$M160)),$O160,0)</f>
        <v>0</v>
      </c>
      <c r="W160" s="17" t="n">
        <f aca="false">IF(AND(W$4&gt;=IF($L160="",1,$L160),W$4&lt;=IF($M160="",12,$M160)),$O160,0)</f>
        <v>0</v>
      </c>
      <c r="X160" s="17" t="n">
        <f aca="false">IF(AND(X$4&gt;=IF($L160="",1,$L160),X$4&lt;=IF($M160="",12,$M160)),$O160,0)</f>
        <v>0</v>
      </c>
      <c r="Y160" s="17" t="n">
        <f aca="false">IF(AND(Y$4&gt;=IF($L160="",1,$L160),Y$4&lt;=IF($M160="",12,$M160)),$O160,0)</f>
        <v>0</v>
      </c>
      <c r="Z160" s="17" t="n">
        <f aca="false">IF(AND(Z$4&gt;=IF($L160="",1,$L160),Z$4&lt;=IF($M160="",12,$M160)),$O160,0)</f>
        <v>0</v>
      </c>
      <c r="AA160" s="17" t="n">
        <f aca="false">IF(AND(AA$4&gt;=IF($L160="",1,$L160),AA$4&lt;=IF($M160="",12,$M160)),$O160,0)</f>
        <v>0</v>
      </c>
      <c r="AB160" s="18" t="n">
        <f aca="false">SUM(P160:AA160)</f>
        <v>0</v>
      </c>
    </row>
    <row r="161" customFormat="false" ht="15" hidden="false" customHeight="false" outlineLevel="0" collapsed="false">
      <c r="A161" s="42" t="s">
        <v>412</v>
      </c>
      <c r="B161" s="25" t="s">
        <v>72</v>
      </c>
      <c r="C161" s="43" t="s">
        <v>260</v>
      </c>
      <c r="D161" s="48" t="s">
        <v>261</v>
      </c>
      <c r="E161" s="45" t="n">
        <v>1</v>
      </c>
      <c r="F161" s="40"/>
      <c r="G161" s="46" t="n">
        <f aca="false">IFERROR(IF($F161&gt;0,MAX(0,INDEX('XERO ACTUALS'!$T$5:$T$132,MATCH($A161,'XERO ACTUALS'!$A$5:$A$132,0))-$F161),INDEX('XERO ACTUALS'!$T$5:$T$132,MATCH($A161,'XERO ACTUALS'!$A$5:$A$132,0)))*IF($E161="",1,$E161),"")</f>
        <v>202</v>
      </c>
      <c r="H161" s="40"/>
      <c r="I161" s="26" t="s">
        <v>254</v>
      </c>
      <c r="J161" s="32"/>
      <c r="K161" s="27" t="n">
        <v>0</v>
      </c>
      <c r="L161" s="26" t="n">
        <v>1</v>
      </c>
      <c r="M161" s="26" t="n">
        <v>12</v>
      </c>
      <c r="N161" s="47" t="s">
        <v>255</v>
      </c>
      <c r="O161" s="18" t="n">
        <f aca="false">IF($N161="N",0,IF($A161="",0,(IF($J161&lt;&gt;"",$J161,IF($I161="BUDGET",IF($H161="",0,$H161),IF($G161="",0,$G161))))*(1+IF($K161="",0,$K161))))</f>
        <v>202</v>
      </c>
      <c r="P161" s="17" t="n">
        <f aca="false">IF(AND(P$4&gt;=IF($L161="",1,$L161),P$4&lt;=IF($M161="",12,$M161)),$O161,0)</f>
        <v>202</v>
      </c>
      <c r="Q161" s="17" t="n">
        <f aca="false">IF(AND(Q$4&gt;=IF($L161="",1,$L161),Q$4&lt;=IF($M161="",12,$M161)),$O161,0)</f>
        <v>202</v>
      </c>
      <c r="R161" s="17" t="n">
        <f aca="false">IF(AND(R$4&gt;=IF($L161="",1,$L161),R$4&lt;=IF($M161="",12,$M161)),$O161,0)</f>
        <v>202</v>
      </c>
      <c r="S161" s="17" t="n">
        <f aca="false">IF(AND(S$4&gt;=IF($L161="",1,$L161),S$4&lt;=IF($M161="",12,$M161)),$O161,0)</f>
        <v>202</v>
      </c>
      <c r="T161" s="17" t="n">
        <f aca="false">IF(AND(T$4&gt;=IF($L161="",1,$L161),T$4&lt;=IF($M161="",12,$M161)),$O161,0)</f>
        <v>202</v>
      </c>
      <c r="U161" s="17" t="n">
        <f aca="false">IF(AND(U$4&gt;=IF($L161="",1,$L161),U$4&lt;=IF($M161="",12,$M161)),$O161,0)</f>
        <v>202</v>
      </c>
      <c r="V161" s="17" t="n">
        <f aca="false">IF(AND(V$4&gt;=IF($L161="",1,$L161),V$4&lt;=IF($M161="",12,$M161)),$O161,0)</f>
        <v>202</v>
      </c>
      <c r="W161" s="17" t="n">
        <f aca="false">IF(AND(W$4&gt;=IF($L161="",1,$L161),W$4&lt;=IF($M161="",12,$M161)),$O161,0)</f>
        <v>202</v>
      </c>
      <c r="X161" s="17" t="n">
        <f aca="false">IF(AND(X$4&gt;=IF($L161="",1,$L161),X$4&lt;=IF($M161="",12,$M161)),$O161,0)</f>
        <v>202</v>
      </c>
      <c r="Y161" s="17" t="n">
        <f aca="false">IF(AND(Y$4&gt;=IF($L161="",1,$L161),Y$4&lt;=IF($M161="",12,$M161)),$O161,0)</f>
        <v>202</v>
      </c>
      <c r="Z161" s="17" t="n">
        <f aca="false">IF(AND(Z$4&gt;=IF($L161="",1,$L161),Z$4&lt;=IF($M161="",12,$M161)),$O161,0)</f>
        <v>202</v>
      </c>
      <c r="AA161" s="17" t="n">
        <f aca="false">IF(AND(AA$4&gt;=IF($L161="",1,$L161),AA$4&lt;=IF($M161="",12,$M161)),$O161,0)</f>
        <v>202</v>
      </c>
      <c r="AB161" s="18" t="n">
        <f aca="false">SUM(P161:AA161)</f>
        <v>2424</v>
      </c>
    </row>
    <row r="162" customFormat="false" ht="15" hidden="false" customHeight="false" outlineLevel="0" collapsed="false">
      <c r="A162" s="42" t="s">
        <v>413</v>
      </c>
      <c r="B162" s="25" t="s">
        <v>72</v>
      </c>
      <c r="C162" s="43" t="s">
        <v>260</v>
      </c>
      <c r="D162" s="48" t="s">
        <v>261</v>
      </c>
      <c r="E162" s="45" t="n">
        <v>1</v>
      </c>
      <c r="F162" s="40"/>
      <c r="G162" s="46" t="n">
        <f aca="false">IFERROR(IF($F162&gt;0,MAX(0,INDEX('XERO ACTUALS'!$T$5:$T$132,MATCH($A162,'XERO ACTUALS'!$A$5:$A$132,0))-$F162),INDEX('XERO ACTUALS'!$T$5:$T$132,MATCH($A162,'XERO ACTUALS'!$A$5:$A$132,0)))*IF($E162="",1,$E162),"")</f>
        <v>165</v>
      </c>
      <c r="H162" s="40"/>
      <c r="I162" s="26" t="s">
        <v>254</v>
      </c>
      <c r="J162" s="32"/>
      <c r="K162" s="27" t="n">
        <v>0</v>
      </c>
      <c r="L162" s="26" t="n">
        <v>1</v>
      </c>
      <c r="M162" s="26" t="n">
        <v>12</v>
      </c>
      <c r="N162" s="47" t="s">
        <v>255</v>
      </c>
      <c r="O162" s="18" t="n">
        <f aca="false">IF($N162="N",0,IF($A162="",0,(IF($J162&lt;&gt;"",$J162,IF($I162="BUDGET",IF($H162="",0,$H162),IF($G162="",0,$G162))))*(1+IF($K162="",0,$K162))))</f>
        <v>165</v>
      </c>
      <c r="P162" s="17" t="n">
        <f aca="false">IF(AND(P$4&gt;=IF($L162="",1,$L162),P$4&lt;=IF($M162="",12,$M162)),$O162,0)</f>
        <v>165</v>
      </c>
      <c r="Q162" s="17" t="n">
        <f aca="false">IF(AND(Q$4&gt;=IF($L162="",1,$L162),Q$4&lt;=IF($M162="",12,$M162)),$O162,0)</f>
        <v>165</v>
      </c>
      <c r="R162" s="17" t="n">
        <f aca="false">IF(AND(R$4&gt;=IF($L162="",1,$L162),R$4&lt;=IF($M162="",12,$M162)),$O162,0)</f>
        <v>165</v>
      </c>
      <c r="S162" s="17" t="n">
        <f aca="false">IF(AND(S$4&gt;=IF($L162="",1,$L162),S$4&lt;=IF($M162="",12,$M162)),$O162,0)</f>
        <v>165</v>
      </c>
      <c r="T162" s="17" t="n">
        <f aca="false">IF(AND(T$4&gt;=IF($L162="",1,$L162),T$4&lt;=IF($M162="",12,$M162)),$O162,0)</f>
        <v>165</v>
      </c>
      <c r="U162" s="17" t="n">
        <f aca="false">IF(AND(U$4&gt;=IF($L162="",1,$L162),U$4&lt;=IF($M162="",12,$M162)),$O162,0)</f>
        <v>165</v>
      </c>
      <c r="V162" s="17" t="n">
        <f aca="false">IF(AND(V$4&gt;=IF($L162="",1,$L162),V$4&lt;=IF($M162="",12,$M162)),$O162,0)</f>
        <v>165</v>
      </c>
      <c r="W162" s="17" t="n">
        <f aca="false">IF(AND(W$4&gt;=IF($L162="",1,$L162),W$4&lt;=IF($M162="",12,$M162)),$O162,0)</f>
        <v>165</v>
      </c>
      <c r="X162" s="17" t="n">
        <f aca="false">IF(AND(X$4&gt;=IF($L162="",1,$L162),X$4&lt;=IF($M162="",12,$M162)),$O162,0)</f>
        <v>165</v>
      </c>
      <c r="Y162" s="17" t="n">
        <f aca="false">IF(AND(Y$4&gt;=IF($L162="",1,$L162),Y$4&lt;=IF($M162="",12,$M162)),$O162,0)</f>
        <v>165</v>
      </c>
      <c r="Z162" s="17" t="n">
        <f aca="false">IF(AND(Z$4&gt;=IF($L162="",1,$L162),Z$4&lt;=IF($M162="",12,$M162)),$O162,0)</f>
        <v>165</v>
      </c>
      <c r="AA162" s="17" t="n">
        <f aca="false">IF(AND(AA$4&gt;=IF($L162="",1,$L162),AA$4&lt;=IF($M162="",12,$M162)),$O162,0)</f>
        <v>165</v>
      </c>
      <c r="AB162" s="18" t="n">
        <f aca="false">SUM(P162:AA162)</f>
        <v>1980</v>
      </c>
    </row>
    <row r="163" customFormat="false" ht="15" hidden="false" customHeight="false" outlineLevel="0" collapsed="false">
      <c r="A163" s="42" t="s">
        <v>414</v>
      </c>
      <c r="B163" s="25" t="s">
        <v>72</v>
      </c>
      <c r="C163" s="43" t="s">
        <v>260</v>
      </c>
      <c r="D163" s="50" t="s">
        <v>285</v>
      </c>
      <c r="E163" s="45" t="n">
        <v>1</v>
      </c>
      <c r="F163" s="40"/>
      <c r="G163" s="46" t="n">
        <f aca="false">IFERROR(IF($F163&gt;0,MAX(0,INDEX('XERO ACTUALS'!$T$5:$T$132,MATCH($A163,'XERO ACTUALS'!$A$5:$A$132,0))-$F163),INDEX('XERO ACTUALS'!$T$5:$T$132,MATCH($A163,'XERO ACTUALS'!$A$5:$A$132,0)))*IF($E163="",1,$E163),"")</f>
        <v>149.583192226535</v>
      </c>
      <c r="H163" s="40"/>
      <c r="I163" s="26" t="s">
        <v>254</v>
      </c>
      <c r="J163" s="32"/>
      <c r="K163" s="27" t="n">
        <v>0</v>
      </c>
      <c r="L163" s="26" t="n">
        <v>1</v>
      </c>
      <c r="M163" s="26" t="n">
        <v>12</v>
      </c>
      <c r="N163" s="47" t="s">
        <v>267</v>
      </c>
      <c r="O163" s="18" t="n">
        <f aca="false">IF($N163="N",0,IF($A163="",0,(IF($J163&lt;&gt;"",$J163,IF($I163="BUDGET",IF($H163="",0,$H163),IF($G163="",0,$G163))))*(1+IF($K163="",0,$K163))))</f>
        <v>0</v>
      </c>
      <c r="P163" s="17" t="n">
        <f aca="false">IF(AND(P$4&gt;=IF($L163="",1,$L163),P$4&lt;=IF($M163="",12,$M163)),$O163,0)</f>
        <v>0</v>
      </c>
      <c r="Q163" s="17" t="n">
        <f aca="false">IF(AND(Q$4&gt;=IF($L163="",1,$L163),Q$4&lt;=IF($M163="",12,$M163)),$O163,0)</f>
        <v>0</v>
      </c>
      <c r="R163" s="17" t="n">
        <f aca="false">IF(AND(R$4&gt;=IF($L163="",1,$L163),R$4&lt;=IF($M163="",12,$M163)),$O163,0)</f>
        <v>0</v>
      </c>
      <c r="S163" s="17" t="n">
        <f aca="false">IF(AND(S$4&gt;=IF($L163="",1,$L163),S$4&lt;=IF($M163="",12,$M163)),$O163,0)</f>
        <v>0</v>
      </c>
      <c r="T163" s="17" t="n">
        <f aca="false">IF(AND(T$4&gt;=IF($L163="",1,$L163),T$4&lt;=IF($M163="",12,$M163)),$O163,0)</f>
        <v>0</v>
      </c>
      <c r="U163" s="17" t="n">
        <f aca="false">IF(AND(U$4&gt;=IF($L163="",1,$L163),U$4&lt;=IF($M163="",12,$M163)),$O163,0)</f>
        <v>0</v>
      </c>
      <c r="V163" s="17" t="n">
        <f aca="false">IF(AND(V$4&gt;=IF($L163="",1,$L163),V$4&lt;=IF($M163="",12,$M163)),$O163,0)</f>
        <v>0</v>
      </c>
      <c r="W163" s="17" t="n">
        <f aca="false">IF(AND(W$4&gt;=IF($L163="",1,$L163),W$4&lt;=IF($M163="",12,$M163)),$O163,0)</f>
        <v>0</v>
      </c>
      <c r="X163" s="17" t="n">
        <f aca="false">IF(AND(X$4&gt;=IF($L163="",1,$L163),X$4&lt;=IF($M163="",12,$M163)),$O163,0)</f>
        <v>0</v>
      </c>
      <c r="Y163" s="17" t="n">
        <f aca="false">IF(AND(Y$4&gt;=IF($L163="",1,$L163),Y$4&lt;=IF($M163="",12,$M163)),$O163,0)</f>
        <v>0</v>
      </c>
      <c r="Z163" s="17" t="n">
        <f aca="false">IF(AND(Z$4&gt;=IF($L163="",1,$L163),Z$4&lt;=IF($M163="",12,$M163)),$O163,0)</f>
        <v>0</v>
      </c>
      <c r="AA163" s="17" t="n">
        <f aca="false">IF(AND(AA$4&gt;=IF($L163="",1,$L163),AA$4&lt;=IF($M163="",12,$M163)),$O163,0)</f>
        <v>0</v>
      </c>
      <c r="AB163" s="18" t="n">
        <f aca="false">SUM(P163:AA163)</f>
        <v>0</v>
      </c>
    </row>
    <row r="164" customFormat="false" ht="15" hidden="false" customHeight="false" outlineLevel="0" collapsed="false">
      <c r="A164" s="42" t="s">
        <v>415</v>
      </c>
      <c r="B164" s="25" t="s">
        <v>72</v>
      </c>
      <c r="C164" s="43" t="s">
        <v>260</v>
      </c>
      <c r="D164" s="50" t="s">
        <v>285</v>
      </c>
      <c r="E164" s="45" t="n">
        <v>1</v>
      </c>
      <c r="F164" s="40"/>
      <c r="G164" s="46" t="n">
        <f aca="false">IFERROR(IF($F164&gt;0,MAX(0,INDEX('XERO ACTUALS'!$T$5:$T$132,MATCH($A164,'XERO ACTUALS'!$A$5:$A$132,0))-$F164),INDEX('XERO ACTUALS'!$T$5:$T$132,MATCH($A164,'XERO ACTUALS'!$A$5:$A$132,0)))*IF($E164="",1,$E164),"")</f>
        <v>104.201943366244</v>
      </c>
      <c r="H164" s="40"/>
      <c r="I164" s="26" t="s">
        <v>254</v>
      </c>
      <c r="J164" s="32"/>
      <c r="K164" s="27" t="n">
        <v>0</v>
      </c>
      <c r="L164" s="26" t="n">
        <v>1</v>
      </c>
      <c r="M164" s="26" t="n">
        <v>12</v>
      </c>
      <c r="N164" s="47" t="s">
        <v>267</v>
      </c>
      <c r="O164" s="18" t="n">
        <f aca="false">IF($N164="N",0,IF($A164="",0,(IF($J164&lt;&gt;"",$J164,IF($I164="BUDGET",IF($H164="",0,$H164),IF($G164="",0,$G164))))*(1+IF($K164="",0,$K164))))</f>
        <v>0</v>
      </c>
      <c r="P164" s="17" t="n">
        <f aca="false">IF(AND(P$4&gt;=IF($L164="",1,$L164),P$4&lt;=IF($M164="",12,$M164)),$O164,0)</f>
        <v>0</v>
      </c>
      <c r="Q164" s="17" t="n">
        <f aca="false">IF(AND(Q$4&gt;=IF($L164="",1,$L164),Q$4&lt;=IF($M164="",12,$M164)),$O164,0)</f>
        <v>0</v>
      </c>
      <c r="R164" s="17" t="n">
        <f aca="false">IF(AND(R$4&gt;=IF($L164="",1,$L164),R$4&lt;=IF($M164="",12,$M164)),$O164,0)</f>
        <v>0</v>
      </c>
      <c r="S164" s="17" t="n">
        <f aca="false">IF(AND(S$4&gt;=IF($L164="",1,$L164),S$4&lt;=IF($M164="",12,$M164)),$O164,0)</f>
        <v>0</v>
      </c>
      <c r="T164" s="17" t="n">
        <f aca="false">IF(AND(T$4&gt;=IF($L164="",1,$L164),T$4&lt;=IF($M164="",12,$M164)),$O164,0)</f>
        <v>0</v>
      </c>
      <c r="U164" s="17" t="n">
        <f aca="false">IF(AND(U$4&gt;=IF($L164="",1,$L164),U$4&lt;=IF($M164="",12,$M164)),$O164,0)</f>
        <v>0</v>
      </c>
      <c r="V164" s="17" t="n">
        <f aca="false">IF(AND(V$4&gt;=IF($L164="",1,$L164),V$4&lt;=IF($M164="",12,$M164)),$O164,0)</f>
        <v>0</v>
      </c>
      <c r="W164" s="17" t="n">
        <f aca="false">IF(AND(W$4&gt;=IF($L164="",1,$L164),W$4&lt;=IF($M164="",12,$M164)),$O164,0)</f>
        <v>0</v>
      </c>
      <c r="X164" s="17" t="n">
        <f aca="false">IF(AND(X$4&gt;=IF($L164="",1,$L164),X$4&lt;=IF($M164="",12,$M164)),$O164,0)</f>
        <v>0</v>
      </c>
      <c r="Y164" s="17" t="n">
        <f aca="false">IF(AND(Y$4&gt;=IF($L164="",1,$L164),Y$4&lt;=IF($M164="",12,$M164)),$O164,0)</f>
        <v>0</v>
      </c>
      <c r="Z164" s="17" t="n">
        <f aca="false">IF(AND(Z$4&gt;=IF($L164="",1,$L164),Z$4&lt;=IF($M164="",12,$M164)),$O164,0)</f>
        <v>0</v>
      </c>
      <c r="AA164" s="17" t="n">
        <f aca="false">IF(AND(AA$4&gt;=IF($L164="",1,$L164),AA$4&lt;=IF($M164="",12,$M164)),$O164,0)</f>
        <v>0</v>
      </c>
      <c r="AB164" s="18" t="n">
        <f aca="false">SUM(P164:AA164)</f>
        <v>0</v>
      </c>
    </row>
    <row r="165" customFormat="false" ht="15" hidden="false" customHeight="false" outlineLevel="0" collapsed="false">
      <c r="A165" s="42" t="s">
        <v>416</v>
      </c>
      <c r="B165" s="25" t="s">
        <v>72</v>
      </c>
      <c r="C165" s="43" t="s">
        <v>260</v>
      </c>
      <c r="D165" s="51" t="s">
        <v>291</v>
      </c>
      <c r="E165" s="45" t="n">
        <v>1</v>
      </c>
      <c r="F165" s="40"/>
      <c r="G165" s="46" t="n">
        <f aca="false">IFERROR(IF($F165&gt;0,MAX(0,INDEX('XERO ACTUALS'!$T$5:$T$132,MATCH($A165,'XERO ACTUALS'!$A$5:$A$132,0))-$F165),INDEX('XERO ACTUALS'!$T$5:$T$132,MATCH($A165,'XERO ACTUALS'!$A$5:$A$132,0)))*IF($E165="",1,$E165),"")</f>
        <v>97.4900356891656</v>
      </c>
      <c r="H165" s="40"/>
      <c r="I165" s="26" t="s">
        <v>254</v>
      </c>
      <c r="J165" s="32"/>
      <c r="K165" s="27" t="n">
        <v>0</v>
      </c>
      <c r="L165" s="26" t="n">
        <v>1</v>
      </c>
      <c r="M165" s="26" t="n">
        <v>12</v>
      </c>
      <c r="N165" s="47" t="s">
        <v>255</v>
      </c>
      <c r="O165" s="18" t="n">
        <f aca="false">IF($N165="N",0,IF($A165="",0,(IF($J165&lt;&gt;"",$J165,IF($I165="BUDGET",IF($H165="",0,$H165),IF($G165="",0,$G165))))*(1+IF($K165="",0,$K165))))</f>
        <v>97.4900356891656</v>
      </c>
      <c r="P165" s="17" t="n">
        <f aca="false">IF(AND(P$4&gt;=IF($L165="",1,$L165),P$4&lt;=IF($M165="",12,$M165)),$O165,0)</f>
        <v>97.4900356891656</v>
      </c>
      <c r="Q165" s="17" t="n">
        <f aca="false">IF(AND(Q$4&gt;=IF($L165="",1,$L165),Q$4&lt;=IF($M165="",12,$M165)),$O165,0)</f>
        <v>97.4900356891656</v>
      </c>
      <c r="R165" s="17" t="n">
        <f aca="false">IF(AND(R$4&gt;=IF($L165="",1,$L165),R$4&lt;=IF($M165="",12,$M165)),$O165,0)</f>
        <v>97.4900356891656</v>
      </c>
      <c r="S165" s="17" t="n">
        <f aca="false">IF(AND(S$4&gt;=IF($L165="",1,$L165),S$4&lt;=IF($M165="",12,$M165)),$O165,0)</f>
        <v>97.4900356891656</v>
      </c>
      <c r="T165" s="17" t="n">
        <f aca="false">IF(AND(T$4&gt;=IF($L165="",1,$L165),T$4&lt;=IF($M165="",12,$M165)),$O165,0)</f>
        <v>97.4900356891656</v>
      </c>
      <c r="U165" s="17" t="n">
        <f aca="false">IF(AND(U$4&gt;=IF($L165="",1,$L165),U$4&lt;=IF($M165="",12,$M165)),$O165,0)</f>
        <v>97.4900356891656</v>
      </c>
      <c r="V165" s="17" t="n">
        <f aca="false">IF(AND(V$4&gt;=IF($L165="",1,$L165),V$4&lt;=IF($M165="",12,$M165)),$O165,0)</f>
        <v>97.4900356891656</v>
      </c>
      <c r="W165" s="17" t="n">
        <f aca="false">IF(AND(W$4&gt;=IF($L165="",1,$L165),W$4&lt;=IF($M165="",12,$M165)),$O165,0)</f>
        <v>97.4900356891656</v>
      </c>
      <c r="X165" s="17" t="n">
        <f aca="false">IF(AND(X$4&gt;=IF($L165="",1,$L165),X$4&lt;=IF($M165="",12,$M165)),$O165,0)</f>
        <v>97.4900356891656</v>
      </c>
      <c r="Y165" s="17" t="n">
        <f aca="false">IF(AND(Y$4&gt;=IF($L165="",1,$L165),Y$4&lt;=IF($M165="",12,$M165)),$O165,0)</f>
        <v>97.4900356891656</v>
      </c>
      <c r="Z165" s="17" t="n">
        <f aca="false">IF(AND(Z$4&gt;=IF($L165="",1,$L165),Z$4&lt;=IF($M165="",12,$M165)),$O165,0)</f>
        <v>97.4900356891656</v>
      </c>
      <c r="AA165" s="17" t="n">
        <f aca="false">IF(AND(AA$4&gt;=IF($L165="",1,$L165),AA$4&lt;=IF($M165="",12,$M165)),$O165,0)</f>
        <v>97.4900356891656</v>
      </c>
      <c r="AB165" s="18" t="n">
        <f aca="false">SUM(P165:AA165)</f>
        <v>1169.88042826999</v>
      </c>
    </row>
    <row r="166" customFormat="false" ht="15" hidden="false" customHeight="false" outlineLevel="0" collapsed="false">
      <c r="A166" s="42" t="s">
        <v>417</v>
      </c>
      <c r="B166" s="25" t="s">
        <v>72</v>
      </c>
      <c r="C166" s="43" t="s">
        <v>260</v>
      </c>
      <c r="D166" s="50" t="s">
        <v>285</v>
      </c>
      <c r="E166" s="45" t="n">
        <v>1</v>
      </c>
      <c r="F166" s="40"/>
      <c r="G166" s="46" t="n">
        <f aca="false">IFERROR(IF($F166&gt;0,MAX(0,INDEX('XERO ACTUALS'!$T$5:$T$132,MATCH($A166,'XERO ACTUALS'!$A$5:$A$132,0))-$F166),INDEX('XERO ACTUALS'!$T$5:$T$132,MATCH($A166,'XERO ACTUALS'!$A$5:$A$132,0)))*IF($E166="",1,$E166),"")</f>
        <v>75.5451064162347</v>
      </c>
      <c r="H166" s="40"/>
      <c r="I166" s="26" t="s">
        <v>254</v>
      </c>
      <c r="J166" s="32"/>
      <c r="K166" s="27" t="n">
        <v>0</v>
      </c>
      <c r="L166" s="26" t="n">
        <v>1</v>
      </c>
      <c r="M166" s="26" t="n">
        <v>12</v>
      </c>
      <c r="N166" s="47" t="s">
        <v>267</v>
      </c>
      <c r="O166" s="18" t="n">
        <f aca="false">IF($N166="N",0,IF($A166="",0,(IF($J166&lt;&gt;"",$J166,IF($I166="BUDGET",IF($H166="",0,$H166),IF($G166="",0,$G166))))*(1+IF($K166="",0,$K166))))</f>
        <v>0</v>
      </c>
      <c r="P166" s="17" t="n">
        <f aca="false">IF(AND(P$4&gt;=IF($L166="",1,$L166),P$4&lt;=IF($M166="",12,$M166)),$O166,0)</f>
        <v>0</v>
      </c>
      <c r="Q166" s="17" t="n">
        <f aca="false">IF(AND(Q$4&gt;=IF($L166="",1,$L166),Q$4&lt;=IF($M166="",12,$M166)),$O166,0)</f>
        <v>0</v>
      </c>
      <c r="R166" s="17" t="n">
        <f aca="false">IF(AND(R$4&gt;=IF($L166="",1,$L166),R$4&lt;=IF($M166="",12,$M166)),$O166,0)</f>
        <v>0</v>
      </c>
      <c r="S166" s="17" t="n">
        <f aca="false">IF(AND(S$4&gt;=IF($L166="",1,$L166),S$4&lt;=IF($M166="",12,$M166)),$O166,0)</f>
        <v>0</v>
      </c>
      <c r="T166" s="17" t="n">
        <f aca="false">IF(AND(T$4&gt;=IF($L166="",1,$L166),T$4&lt;=IF($M166="",12,$M166)),$O166,0)</f>
        <v>0</v>
      </c>
      <c r="U166" s="17" t="n">
        <f aca="false">IF(AND(U$4&gt;=IF($L166="",1,$L166),U$4&lt;=IF($M166="",12,$M166)),$O166,0)</f>
        <v>0</v>
      </c>
      <c r="V166" s="17" t="n">
        <f aca="false">IF(AND(V$4&gt;=IF($L166="",1,$L166),V$4&lt;=IF($M166="",12,$M166)),$O166,0)</f>
        <v>0</v>
      </c>
      <c r="W166" s="17" t="n">
        <f aca="false">IF(AND(W$4&gt;=IF($L166="",1,$L166),W$4&lt;=IF($M166="",12,$M166)),$O166,0)</f>
        <v>0</v>
      </c>
      <c r="X166" s="17" t="n">
        <f aca="false">IF(AND(X$4&gt;=IF($L166="",1,$L166),X$4&lt;=IF($M166="",12,$M166)),$O166,0)</f>
        <v>0</v>
      </c>
      <c r="Y166" s="17" t="n">
        <f aca="false">IF(AND(Y$4&gt;=IF($L166="",1,$L166),Y$4&lt;=IF($M166="",12,$M166)),$O166,0)</f>
        <v>0</v>
      </c>
      <c r="Z166" s="17" t="n">
        <f aca="false">IF(AND(Z$4&gt;=IF($L166="",1,$L166),Z$4&lt;=IF($M166="",12,$M166)),$O166,0)</f>
        <v>0</v>
      </c>
      <c r="AA166" s="17" t="n">
        <f aca="false">IF(AND(AA$4&gt;=IF($L166="",1,$L166),AA$4&lt;=IF($M166="",12,$M166)),$O166,0)</f>
        <v>0</v>
      </c>
      <c r="AB166" s="18" t="n">
        <f aca="false">SUM(P166:AA166)</f>
        <v>0</v>
      </c>
    </row>
    <row r="167" customFormat="false" ht="15" hidden="false" customHeight="false" outlineLevel="0" collapsed="false">
      <c r="A167" s="42" t="s">
        <v>418</v>
      </c>
      <c r="B167" s="25" t="s">
        <v>72</v>
      </c>
      <c r="C167" s="43" t="s">
        <v>260</v>
      </c>
      <c r="D167" s="50" t="s">
        <v>285</v>
      </c>
      <c r="E167" s="45" t="n">
        <v>1</v>
      </c>
      <c r="F167" s="40"/>
      <c r="G167" s="46" t="n">
        <f aca="false">IFERROR(IF($F167&gt;0,MAX(0,INDEX('XERO ACTUALS'!$T$5:$T$132,MATCH($A167,'XERO ACTUALS'!$A$5:$A$132,0))-$F167),INDEX('XERO ACTUALS'!$T$5:$T$132,MATCH($A167,'XERO ACTUALS'!$A$5:$A$132,0)))*IF($E167="",1,$E167),"")</f>
        <v>73.2070753119546</v>
      </c>
      <c r="H167" s="40"/>
      <c r="I167" s="26" t="s">
        <v>254</v>
      </c>
      <c r="J167" s="32"/>
      <c r="K167" s="27" t="n">
        <v>0</v>
      </c>
      <c r="L167" s="26" t="n">
        <v>1</v>
      </c>
      <c r="M167" s="26" t="n">
        <v>12</v>
      </c>
      <c r="N167" s="47" t="s">
        <v>267</v>
      </c>
      <c r="O167" s="18" t="n">
        <f aca="false">IF($N167="N",0,IF($A167="",0,(IF($J167&lt;&gt;"",$J167,IF($I167="BUDGET",IF($H167="",0,$H167),IF($G167="",0,$G167))))*(1+IF($K167="",0,$K167))))</f>
        <v>0</v>
      </c>
      <c r="P167" s="17" t="n">
        <f aca="false">IF(AND(P$4&gt;=IF($L167="",1,$L167),P$4&lt;=IF($M167="",12,$M167)),$O167,0)</f>
        <v>0</v>
      </c>
      <c r="Q167" s="17" t="n">
        <f aca="false">IF(AND(Q$4&gt;=IF($L167="",1,$L167),Q$4&lt;=IF($M167="",12,$M167)),$O167,0)</f>
        <v>0</v>
      </c>
      <c r="R167" s="17" t="n">
        <f aca="false">IF(AND(R$4&gt;=IF($L167="",1,$L167),R$4&lt;=IF($M167="",12,$M167)),$O167,0)</f>
        <v>0</v>
      </c>
      <c r="S167" s="17" t="n">
        <f aca="false">IF(AND(S$4&gt;=IF($L167="",1,$L167),S$4&lt;=IF($M167="",12,$M167)),$O167,0)</f>
        <v>0</v>
      </c>
      <c r="T167" s="17" t="n">
        <f aca="false">IF(AND(T$4&gt;=IF($L167="",1,$L167),T$4&lt;=IF($M167="",12,$M167)),$O167,0)</f>
        <v>0</v>
      </c>
      <c r="U167" s="17" t="n">
        <f aca="false">IF(AND(U$4&gt;=IF($L167="",1,$L167),U$4&lt;=IF($M167="",12,$M167)),$O167,0)</f>
        <v>0</v>
      </c>
      <c r="V167" s="17" t="n">
        <f aca="false">IF(AND(V$4&gt;=IF($L167="",1,$L167),V$4&lt;=IF($M167="",12,$M167)),$O167,0)</f>
        <v>0</v>
      </c>
      <c r="W167" s="17" t="n">
        <f aca="false">IF(AND(W$4&gt;=IF($L167="",1,$L167),W$4&lt;=IF($M167="",12,$M167)),$O167,0)</f>
        <v>0</v>
      </c>
      <c r="X167" s="17" t="n">
        <f aca="false">IF(AND(X$4&gt;=IF($L167="",1,$L167),X$4&lt;=IF($M167="",12,$M167)),$O167,0)</f>
        <v>0</v>
      </c>
      <c r="Y167" s="17" t="n">
        <f aca="false">IF(AND(Y$4&gt;=IF($L167="",1,$L167),Y$4&lt;=IF($M167="",12,$M167)),$O167,0)</f>
        <v>0</v>
      </c>
      <c r="Z167" s="17" t="n">
        <f aca="false">IF(AND(Z$4&gt;=IF($L167="",1,$L167),Z$4&lt;=IF($M167="",12,$M167)),$O167,0)</f>
        <v>0</v>
      </c>
      <c r="AA167" s="17" t="n">
        <f aca="false">IF(AND(AA$4&gt;=IF($L167="",1,$L167),AA$4&lt;=IF($M167="",12,$M167)),$O167,0)</f>
        <v>0</v>
      </c>
      <c r="AB167" s="18" t="n">
        <f aca="false">SUM(P167:AA167)</f>
        <v>0</v>
      </c>
    </row>
    <row r="168" customFormat="false" ht="15" hidden="false" customHeight="false" outlineLevel="0" collapsed="false">
      <c r="A168" s="42" t="s">
        <v>419</v>
      </c>
      <c r="B168" s="25" t="s">
        <v>72</v>
      </c>
      <c r="C168" s="43" t="s">
        <v>260</v>
      </c>
      <c r="D168" s="48" t="s">
        <v>261</v>
      </c>
      <c r="E168" s="45" t="n">
        <v>1</v>
      </c>
      <c r="F168" s="40"/>
      <c r="G168" s="46" t="n">
        <f aca="false">IFERROR(IF($F168&gt;0,MAX(0,INDEX('XERO ACTUALS'!$T$5:$T$132,MATCH($A168,'XERO ACTUALS'!$A$5:$A$132,0))-$F168),INDEX('XERO ACTUALS'!$T$5:$T$132,MATCH($A168,'XERO ACTUALS'!$A$5:$A$132,0)))*IF($E168="",1,$E168),"")</f>
        <v>69.67</v>
      </c>
      <c r="H168" s="40"/>
      <c r="I168" s="26" t="s">
        <v>254</v>
      </c>
      <c r="J168" s="32"/>
      <c r="K168" s="27" t="n">
        <v>0</v>
      </c>
      <c r="L168" s="26" t="n">
        <v>1</v>
      </c>
      <c r="M168" s="26" t="n">
        <v>12</v>
      </c>
      <c r="N168" s="47" t="s">
        <v>255</v>
      </c>
      <c r="O168" s="18" t="n">
        <f aca="false">IF($N168="N",0,IF($A168="",0,(IF($J168&lt;&gt;"",$J168,IF($I168="BUDGET",IF($H168="",0,$H168),IF($G168="",0,$G168))))*(1+IF($K168="",0,$K168))))</f>
        <v>69.67</v>
      </c>
      <c r="P168" s="17" t="n">
        <f aca="false">IF(AND(P$4&gt;=IF($L168="",1,$L168),P$4&lt;=IF($M168="",12,$M168)),$O168,0)</f>
        <v>69.67</v>
      </c>
      <c r="Q168" s="17" t="n">
        <f aca="false">IF(AND(Q$4&gt;=IF($L168="",1,$L168),Q$4&lt;=IF($M168="",12,$M168)),$O168,0)</f>
        <v>69.67</v>
      </c>
      <c r="R168" s="17" t="n">
        <f aca="false">IF(AND(R$4&gt;=IF($L168="",1,$L168),R$4&lt;=IF($M168="",12,$M168)),$O168,0)</f>
        <v>69.67</v>
      </c>
      <c r="S168" s="17" t="n">
        <f aca="false">IF(AND(S$4&gt;=IF($L168="",1,$L168),S$4&lt;=IF($M168="",12,$M168)),$O168,0)</f>
        <v>69.67</v>
      </c>
      <c r="T168" s="17" t="n">
        <f aca="false">IF(AND(T$4&gt;=IF($L168="",1,$L168),T$4&lt;=IF($M168="",12,$M168)),$O168,0)</f>
        <v>69.67</v>
      </c>
      <c r="U168" s="17" t="n">
        <f aca="false">IF(AND(U$4&gt;=IF($L168="",1,$L168),U$4&lt;=IF($M168="",12,$M168)),$O168,0)</f>
        <v>69.67</v>
      </c>
      <c r="V168" s="17" t="n">
        <f aca="false">IF(AND(V$4&gt;=IF($L168="",1,$L168),V$4&lt;=IF($M168="",12,$M168)),$O168,0)</f>
        <v>69.67</v>
      </c>
      <c r="W168" s="17" t="n">
        <f aca="false">IF(AND(W$4&gt;=IF($L168="",1,$L168),W$4&lt;=IF($M168="",12,$M168)),$O168,0)</f>
        <v>69.67</v>
      </c>
      <c r="X168" s="17" t="n">
        <f aca="false">IF(AND(X$4&gt;=IF($L168="",1,$L168),X$4&lt;=IF($M168="",12,$M168)),$O168,0)</f>
        <v>69.67</v>
      </c>
      <c r="Y168" s="17" t="n">
        <f aca="false">IF(AND(Y$4&gt;=IF($L168="",1,$L168),Y$4&lt;=IF($M168="",12,$M168)),$O168,0)</f>
        <v>69.67</v>
      </c>
      <c r="Z168" s="17" t="n">
        <f aca="false">IF(AND(Z$4&gt;=IF($L168="",1,$L168),Z$4&lt;=IF($M168="",12,$M168)),$O168,0)</f>
        <v>69.67</v>
      </c>
      <c r="AA168" s="17" t="n">
        <f aca="false">IF(AND(AA$4&gt;=IF($L168="",1,$L168),AA$4&lt;=IF($M168="",12,$M168)),$O168,0)</f>
        <v>69.67</v>
      </c>
      <c r="AB168" s="18" t="n">
        <f aca="false">SUM(P168:AA168)</f>
        <v>836.04</v>
      </c>
    </row>
    <row r="169" customFormat="false" ht="15" hidden="false" customHeight="false" outlineLevel="0" collapsed="false">
      <c r="A169" s="42" t="s">
        <v>420</v>
      </c>
      <c r="B169" s="25" t="s">
        <v>72</v>
      </c>
      <c r="C169" s="43" t="s">
        <v>260</v>
      </c>
      <c r="D169" s="50" t="s">
        <v>285</v>
      </c>
      <c r="E169" s="45" t="n">
        <v>1</v>
      </c>
      <c r="F169" s="40"/>
      <c r="G169" s="46" t="n">
        <f aca="false">IFERROR(IF($F169&gt;0,MAX(0,INDEX('XERO ACTUALS'!$T$5:$T$132,MATCH($A169,'XERO ACTUALS'!$A$5:$A$132,0))-$F169),INDEX('XERO ACTUALS'!$T$5:$T$132,MATCH($A169,'XERO ACTUALS'!$A$5:$A$132,0)))*IF($E169="",1,$E169),"")</f>
        <v>65.7774767499414</v>
      </c>
      <c r="H169" s="40"/>
      <c r="I169" s="26" t="s">
        <v>254</v>
      </c>
      <c r="J169" s="32"/>
      <c r="K169" s="27" t="n">
        <v>0</v>
      </c>
      <c r="L169" s="26" t="n">
        <v>1</v>
      </c>
      <c r="M169" s="26" t="n">
        <v>12</v>
      </c>
      <c r="N169" s="47" t="s">
        <v>267</v>
      </c>
      <c r="O169" s="18" t="n">
        <f aca="false">IF($N169="N",0,IF($A169="",0,(IF($J169&lt;&gt;"",$J169,IF($I169="BUDGET",IF($H169="",0,$H169),IF($G169="",0,$G169))))*(1+IF($K169="",0,$K169))))</f>
        <v>0</v>
      </c>
      <c r="P169" s="17" t="n">
        <f aca="false">IF(AND(P$4&gt;=IF($L169="",1,$L169),P$4&lt;=IF($M169="",12,$M169)),$O169,0)</f>
        <v>0</v>
      </c>
      <c r="Q169" s="17" t="n">
        <f aca="false">IF(AND(Q$4&gt;=IF($L169="",1,$L169),Q$4&lt;=IF($M169="",12,$M169)),$O169,0)</f>
        <v>0</v>
      </c>
      <c r="R169" s="17" t="n">
        <f aca="false">IF(AND(R$4&gt;=IF($L169="",1,$L169),R$4&lt;=IF($M169="",12,$M169)),$O169,0)</f>
        <v>0</v>
      </c>
      <c r="S169" s="17" t="n">
        <f aca="false">IF(AND(S$4&gt;=IF($L169="",1,$L169),S$4&lt;=IF($M169="",12,$M169)),$O169,0)</f>
        <v>0</v>
      </c>
      <c r="T169" s="17" t="n">
        <f aca="false">IF(AND(T$4&gt;=IF($L169="",1,$L169),T$4&lt;=IF($M169="",12,$M169)),$O169,0)</f>
        <v>0</v>
      </c>
      <c r="U169" s="17" t="n">
        <f aca="false">IF(AND(U$4&gt;=IF($L169="",1,$L169),U$4&lt;=IF($M169="",12,$M169)),$O169,0)</f>
        <v>0</v>
      </c>
      <c r="V169" s="17" t="n">
        <f aca="false">IF(AND(V$4&gt;=IF($L169="",1,$L169),V$4&lt;=IF($M169="",12,$M169)),$O169,0)</f>
        <v>0</v>
      </c>
      <c r="W169" s="17" t="n">
        <f aca="false">IF(AND(W$4&gt;=IF($L169="",1,$L169),W$4&lt;=IF($M169="",12,$M169)),$O169,0)</f>
        <v>0</v>
      </c>
      <c r="X169" s="17" t="n">
        <f aca="false">IF(AND(X$4&gt;=IF($L169="",1,$L169),X$4&lt;=IF($M169="",12,$M169)),$O169,0)</f>
        <v>0</v>
      </c>
      <c r="Y169" s="17" t="n">
        <f aca="false">IF(AND(Y$4&gt;=IF($L169="",1,$L169),Y$4&lt;=IF($M169="",12,$M169)),$O169,0)</f>
        <v>0</v>
      </c>
      <c r="Z169" s="17" t="n">
        <f aca="false">IF(AND(Z$4&gt;=IF($L169="",1,$L169),Z$4&lt;=IF($M169="",12,$M169)),$O169,0)</f>
        <v>0</v>
      </c>
      <c r="AA169" s="17" t="n">
        <f aca="false">IF(AND(AA$4&gt;=IF($L169="",1,$L169),AA$4&lt;=IF($M169="",12,$M169)),$O169,0)</f>
        <v>0</v>
      </c>
      <c r="AB169" s="18" t="n">
        <f aca="false">SUM(P169:AA169)</f>
        <v>0</v>
      </c>
    </row>
    <row r="170" customFormat="false" ht="15" hidden="false" customHeight="false" outlineLevel="0" collapsed="false">
      <c r="A170" s="42" t="s">
        <v>421</v>
      </c>
      <c r="B170" s="25" t="s">
        <v>72</v>
      </c>
      <c r="C170" s="43" t="s">
        <v>260</v>
      </c>
      <c r="D170" s="48" t="s">
        <v>261</v>
      </c>
      <c r="E170" s="45" t="n">
        <v>1</v>
      </c>
      <c r="F170" s="40"/>
      <c r="G170" s="46" t="n">
        <f aca="false">IFERROR(IF($F170&gt;0,MAX(0,INDEX('XERO ACTUALS'!$T$5:$T$132,MATCH($A170,'XERO ACTUALS'!$A$5:$A$132,0))-$F170),INDEX('XERO ACTUALS'!$T$5:$T$132,MATCH($A170,'XERO ACTUALS'!$A$5:$A$132,0)))*IF($E170="",1,$E170),"")</f>
        <v>57.5</v>
      </c>
      <c r="H170" s="40"/>
      <c r="I170" s="26" t="s">
        <v>254</v>
      </c>
      <c r="J170" s="32"/>
      <c r="K170" s="27" t="n">
        <v>0</v>
      </c>
      <c r="L170" s="26" t="n">
        <v>1</v>
      </c>
      <c r="M170" s="26" t="n">
        <v>12</v>
      </c>
      <c r="N170" s="47" t="s">
        <v>255</v>
      </c>
      <c r="O170" s="18" t="n">
        <f aca="false">IF($N170="N",0,IF($A170="",0,(IF($J170&lt;&gt;"",$J170,IF($I170="BUDGET",IF($H170="",0,$H170),IF($G170="",0,$G170))))*(1+IF($K170="",0,$K170))))</f>
        <v>57.5</v>
      </c>
      <c r="P170" s="17" t="n">
        <f aca="false">IF(AND(P$4&gt;=IF($L170="",1,$L170),P$4&lt;=IF($M170="",12,$M170)),$O170,0)</f>
        <v>57.5</v>
      </c>
      <c r="Q170" s="17" t="n">
        <f aca="false">IF(AND(Q$4&gt;=IF($L170="",1,$L170),Q$4&lt;=IF($M170="",12,$M170)),$O170,0)</f>
        <v>57.5</v>
      </c>
      <c r="R170" s="17" t="n">
        <f aca="false">IF(AND(R$4&gt;=IF($L170="",1,$L170),R$4&lt;=IF($M170="",12,$M170)),$O170,0)</f>
        <v>57.5</v>
      </c>
      <c r="S170" s="17" t="n">
        <f aca="false">IF(AND(S$4&gt;=IF($L170="",1,$L170),S$4&lt;=IF($M170="",12,$M170)),$O170,0)</f>
        <v>57.5</v>
      </c>
      <c r="T170" s="17" t="n">
        <f aca="false">IF(AND(T$4&gt;=IF($L170="",1,$L170),T$4&lt;=IF($M170="",12,$M170)),$O170,0)</f>
        <v>57.5</v>
      </c>
      <c r="U170" s="17" t="n">
        <f aca="false">IF(AND(U$4&gt;=IF($L170="",1,$L170),U$4&lt;=IF($M170="",12,$M170)),$O170,0)</f>
        <v>57.5</v>
      </c>
      <c r="V170" s="17" t="n">
        <f aca="false">IF(AND(V$4&gt;=IF($L170="",1,$L170),V$4&lt;=IF($M170="",12,$M170)),$O170,0)</f>
        <v>57.5</v>
      </c>
      <c r="W170" s="17" t="n">
        <f aca="false">IF(AND(W$4&gt;=IF($L170="",1,$L170),W$4&lt;=IF($M170="",12,$M170)),$O170,0)</f>
        <v>57.5</v>
      </c>
      <c r="X170" s="17" t="n">
        <f aca="false">IF(AND(X$4&gt;=IF($L170="",1,$L170),X$4&lt;=IF($M170="",12,$M170)),$O170,0)</f>
        <v>57.5</v>
      </c>
      <c r="Y170" s="17" t="n">
        <f aca="false">IF(AND(Y$4&gt;=IF($L170="",1,$L170),Y$4&lt;=IF($M170="",12,$M170)),$O170,0)</f>
        <v>57.5</v>
      </c>
      <c r="Z170" s="17" t="n">
        <f aca="false">IF(AND(Z$4&gt;=IF($L170="",1,$L170),Z$4&lt;=IF($M170="",12,$M170)),$O170,0)</f>
        <v>57.5</v>
      </c>
      <c r="AA170" s="17" t="n">
        <f aca="false">IF(AND(AA$4&gt;=IF($L170="",1,$L170),AA$4&lt;=IF($M170="",12,$M170)),$O170,0)</f>
        <v>57.5</v>
      </c>
      <c r="AB170" s="18" t="n">
        <f aca="false">SUM(P170:AA170)</f>
        <v>690</v>
      </c>
    </row>
    <row r="171" customFormat="false" ht="15" hidden="false" customHeight="false" outlineLevel="0" collapsed="false">
      <c r="A171" s="42" t="s">
        <v>422</v>
      </c>
      <c r="B171" s="25" t="s">
        <v>72</v>
      </c>
      <c r="C171" s="43" t="s">
        <v>260</v>
      </c>
      <c r="D171" s="48" t="s">
        <v>261</v>
      </c>
      <c r="E171" s="45" t="n">
        <v>1</v>
      </c>
      <c r="F171" s="40"/>
      <c r="G171" s="46" t="n">
        <f aca="false">IFERROR(IF($F171&gt;0,MAX(0,INDEX('XERO ACTUALS'!$T$5:$T$132,MATCH($A171,'XERO ACTUALS'!$A$5:$A$132,0))-$F171),INDEX('XERO ACTUALS'!$T$5:$T$132,MATCH($A171,'XERO ACTUALS'!$A$5:$A$132,0)))*IF($E171="",1,$E171),"")</f>
        <v>54</v>
      </c>
      <c r="H171" s="40"/>
      <c r="I171" s="26" t="s">
        <v>254</v>
      </c>
      <c r="J171" s="32"/>
      <c r="K171" s="27" t="n">
        <v>0</v>
      </c>
      <c r="L171" s="26" t="n">
        <v>1</v>
      </c>
      <c r="M171" s="26" t="n">
        <v>12</v>
      </c>
      <c r="N171" s="47" t="s">
        <v>255</v>
      </c>
      <c r="O171" s="18" t="n">
        <f aca="false">IF($N171="N",0,IF($A171="",0,(IF($J171&lt;&gt;"",$J171,IF($I171="BUDGET",IF($H171="",0,$H171),IF($G171="",0,$G171))))*(1+IF($K171="",0,$K171))))</f>
        <v>54</v>
      </c>
      <c r="P171" s="17" t="n">
        <f aca="false">IF(AND(P$4&gt;=IF($L171="",1,$L171),P$4&lt;=IF($M171="",12,$M171)),$O171,0)</f>
        <v>54</v>
      </c>
      <c r="Q171" s="17" t="n">
        <f aca="false">IF(AND(Q$4&gt;=IF($L171="",1,$L171),Q$4&lt;=IF($M171="",12,$M171)),$O171,0)</f>
        <v>54</v>
      </c>
      <c r="R171" s="17" t="n">
        <f aca="false">IF(AND(R$4&gt;=IF($L171="",1,$L171),R$4&lt;=IF($M171="",12,$M171)),$O171,0)</f>
        <v>54</v>
      </c>
      <c r="S171" s="17" t="n">
        <f aca="false">IF(AND(S$4&gt;=IF($L171="",1,$L171),S$4&lt;=IF($M171="",12,$M171)),$O171,0)</f>
        <v>54</v>
      </c>
      <c r="T171" s="17" t="n">
        <f aca="false">IF(AND(T$4&gt;=IF($L171="",1,$L171),T$4&lt;=IF($M171="",12,$M171)),$O171,0)</f>
        <v>54</v>
      </c>
      <c r="U171" s="17" t="n">
        <f aca="false">IF(AND(U$4&gt;=IF($L171="",1,$L171),U$4&lt;=IF($M171="",12,$M171)),$O171,0)</f>
        <v>54</v>
      </c>
      <c r="V171" s="17" t="n">
        <f aca="false">IF(AND(V$4&gt;=IF($L171="",1,$L171),V$4&lt;=IF($M171="",12,$M171)),$O171,0)</f>
        <v>54</v>
      </c>
      <c r="W171" s="17" t="n">
        <f aca="false">IF(AND(W$4&gt;=IF($L171="",1,$L171),W$4&lt;=IF($M171="",12,$M171)),$O171,0)</f>
        <v>54</v>
      </c>
      <c r="X171" s="17" t="n">
        <f aca="false">IF(AND(X$4&gt;=IF($L171="",1,$L171),X$4&lt;=IF($M171="",12,$M171)),$O171,0)</f>
        <v>54</v>
      </c>
      <c r="Y171" s="17" t="n">
        <f aca="false">IF(AND(Y$4&gt;=IF($L171="",1,$L171),Y$4&lt;=IF($M171="",12,$M171)),$O171,0)</f>
        <v>54</v>
      </c>
      <c r="Z171" s="17" t="n">
        <f aca="false">IF(AND(Z$4&gt;=IF($L171="",1,$L171),Z$4&lt;=IF($M171="",12,$M171)),$O171,0)</f>
        <v>54</v>
      </c>
      <c r="AA171" s="17" t="n">
        <f aca="false">IF(AND(AA$4&gt;=IF($L171="",1,$L171),AA$4&lt;=IF($M171="",12,$M171)),$O171,0)</f>
        <v>54</v>
      </c>
      <c r="AB171" s="18" t="n">
        <f aca="false">SUM(P171:AA171)</f>
        <v>648</v>
      </c>
    </row>
    <row r="172" customFormat="false" ht="15" hidden="false" customHeight="false" outlineLevel="0" collapsed="false">
      <c r="A172" s="42" t="s">
        <v>423</v>
      </c>
      <c r="B172" s="25" t="s">
        <v>72</v>
      </c>
      <c r="C172" s="43" t="s">
        <v>260</v>
      </c>
      <c r="D172" s="48" t="s">
        <v>261</v>
      </c>
      <c r="E172" s="45" t="n">
        <v>1</v>
      </c>
      <c r="F172" s="40"/>
      <c r="G172" s="46" t="n">
        <f aca="false">IFERROR(IF($F172&gt;0,MAX(0,INDEX('XERO ACTUALS'!$T$5:$T$132,MATCH($A172,'XERO ACTUALS'!$A$5:$A$132,0))-$F172),INDEX('XERO ACTUALS'!$T$5:$T$132,MATCH($A172,'XERO ACTUALS'!$A$5:$A$132,0)))*IF($E172="",1,$E172),"")</f>
        <v>40</v>
      </c>
      <c r="H172" s="40"/>
      <c r="I172" s="26" t="s">
        <v>254</v>
      </c>
      <c r="J172" s="32"/>
      <c r="K172" s="27" t="n">
        <v>0</v>
      </c>
      <c r="L172" s="26" t="n">
        <v>1</v>
      </c>
      <c r="M172" s="26" t="n">
        <v>12</v>
      </c>
      <c r="N172" s="47" t="s">
        <v>255</v>
      </c>
      <c r="O172" s="18" t="n">
        <f aca="false">IF($N172="N",0,IF($A172="",0,(IF($J172&lt;&gt;"",$J172,IF($I172="BUDGET",IF($H172="",0,$H172),IF($G172="",0,$G172))))*(1+IF($K172="",0,$K172))))</f>
        <v>40</v>
      </c>
      <c r="P172" s="17" t="n">
        <f aca="false">IF(AND(P$4&gt;=IF($L172="",1,$L172),P$4&lt;=IF($M172="",12,$M172)),$O172,0)</f>
        <v>40</v>
      </c>
      <c r="Q172" s="17" t="n">
        <f aca="false">IF(AND(Q$4&gt;=IF($L172="",1,$L172),Q$4&lt;=IF($M172="",12,$M172)),$O172,0)</f>
        <v>40</v>
      </c>
      <c r="R172" s="17" t="n">
        <f aca="false">IF(AND(R$4&gt;=IF($L172="",1,$L172),R$4&lt;=IF($M172="",12,$M172)),$O172,0)</f>
        <v>40</v>
      </c>
      <c r="S172" s="17" t="n">
        <f aca="false">IF(AND(S$4&gt;=IF($L172="",1,$L172),S$4&lt;=IF($M172="",12,$M172)),$O172,0)</f>
        <v>40</v>
      </c>
      <c r="T172" s="17" t="n">
        <f aca="false">IF(AND(T$4&gt;=IF($L172="",1,$L172),T$4&lt;=IF($M172="",12,$M172)),$O172,0)</f>
        <v>40</v>
      </c>
      <c r="U172" s="17" t="n">
        <f aca="false">IF(AND(U$4&gt;=IF($L172="",1,$L172),U$4&lt;=IF($M172="",12,$M172)),$O172,0)</f>
        <v>40</v>
      </c>
      <c r="V172" s="17" t="n">
        <f aca="false">IF(AND(V$4&gt;=IF($L172="",1,$L172),V$4&lt;=IF($M172="",12,$M172)),$O172,0)</f>
        <v>40</v>
      </c>
      <c r="W172" s="17" t="n">
        <f aca="false">IF(AND(W$4&gt;=IF($L172="",1,$L172),W$4&lt;=IF($M172="",12,$M172)),$O172,0)</f>
        <v>40</v>
      </c>
      <c r="X172" s="17" t="n">
        <f aca="false">IF(AND(X$4&gt;=IF($L172="",1,$L172),X$4&lt;=IF($M172="",12,$M172)),$O172,0)</f>
        <v>40</v>
      </c>
      <c r="Y172" s="17" t="n">
        <f aca="false">IF(AND(Y$4&gt;=IF($L172="",1,$L172),Y$4&lt;=IF($M172="",12,$M172)),$O172,0)</f>
        <v>40</v>
      </c>
      <c r="Z172" s="17" t="n">
        <f aca="false">IF(AND(Z$4&gt;=IF($L172="",1,$L172),Z$4&lt;=IF($M172="",12,$M172)),$O172,0)</f>
        <v>40</v>
      </c>
      <c r="AA172" s="17" t="n">
        <f aca="false">IF(AND(AA$4&gt;=IF($L172="",1,$L172),AA$4&lt;=IF($M172="",12,$M172)),$O172,0)</f>
        <v>40</v>
      </c>
      <c r="AB172" s="18" t="n">
        <f aca="false">SUM(P172:AA172)</f>
        <v>480</v>
      </c>
    </row>
    <row r="173" customFormat="false" ht="15" hidden="false" customHeight="false" outlineLevel="0" collapsed="false">
      <c r="A173" s="42" t="s">
        <v>424</v>
      </c>
      <c r="B173" s="25" t="s">
        <v>72</v>
      </c>
      <c r="C173" s="43" t="s">
        <v>260</v>
      </c>
      <c r="D173" s="50" t="s">
        <v>285</v>
      </c>
      <c r="E173" s="45" t="n">
        <v>1</v>
      </c>
      <c r="F173" s="40"/>
      <c r="G173" s="46" t="n">
        <f aca="false">IFERROR(IF($F173&gt;0,MAX(0,INDEX('XERO ACTUALS'!$T$5:$T$132,MATCH($A173,'XERO ACTUALS'!$A$5:$A$132,0))-$F173),INDEX('XERO ACTUALS'!$T$5:$T$132,MATCH($A173,'XERO ACTUALS'!$A$5:$A$132,0)))*IF($E173="",1,$E173),"")</f>
        <v>37.5126996118478</v>
      </c>
      <c r="H173" s="40"/>
      <c r="I173" s="26" t="s">
        <v>254</v>
      </c>
      <c r="J173" s="32"/>
      <c r="K173" s="27" t="n">
        <v>0</v>
      </c>
      <c r="L173" s="26" t="n">
        <v>1</v>
      </c>
      <c r="M173" s="26" t="n">
        <v>12</v>
      </c>
      <c r="N173" s="47" t="s">
        <v>267</v>
      </c>
      <c r="O173" s="18" t="n">
        <f aca="false">IF($N173="N",0,IF($A173="",0,(IF($J173&lt;&gt;"",$J173,IF($I173="BUDGET",IF($H173="",0,$H173),IF($G173="",0,$G173))))*(1+IF($K173="",0,$K173))))</f>
        <v>0</v>
      </c>
      <c r="P173" s="17" t="n">
        <f aca="false">IF(AND(P$4&gt;=IF($L173="",1,$L173),P$4&lt;=IF($M173="",12,$M173)),$O173,0)</f>
        <v>0</v>
      </c>
      <c r="Q173" s="17" t="n">
        <f aca="false">IF(AND(Q$4&gt;=IF($L173="",1,$L173),Q$4&lt;=IF($M173="",12,$M173)),$O173,0)</f>
        <v>0</v>
      </c>
      <c r="R173" s="17" t="n">
        <f aca="false">IF(AND(R$4&gt;=IF($L173="",1,$L173),R$4&lt;=IF($M173="",12,$M173)),$O173,0)</f>
        <v>0</v>
      </c>
      <c r="S173" s="17" t="n">
        <f aca="false">IF(AND(S$4&gt;=IF($L173="",1,$L173),S$4&lt;=IF($M173="",12,$M173)),$O173,0)</f>
        <v>0</v>
      </c>
      <c r="T173" s="17" t="n">
        <f aca="false">IF(AND(T$4&gt;=IF($L173="",1,$L173),T$4&lt;=IF($M173="",12,$M173)),$O173,0)</f>
        <v>0</v>
      </c>
      <c r="U173" s="17" t="n">
        <f aca="false">IF(AND(U$4&gt;=IF($L173="",1,$L173),U$4&lt;=IF($M173="",12,$M173)),$O173,0)</f>
        <v>0</v>
      </c>
      <c r="V173" s="17" t="n">
        <f aca="false">IF(AND(V$4&gt;=IF($L173="",1,$L173),V$4&lt;=IF($M173="",12,$M173)),$O173,0)</f>
        <v>0</v>
      </c>
      <c r="W173" s="17" t="n">
        <f aca="false">IF(AND(W$4&gt;=IF($L173="",1,$L173),W$4&lt;=IF($M173="",12,$M173)),$O173,0)</f>
        <v>0</v>
      </c>
      <c r="X173" s="17" t="n">
        <f aca="false">IF(AND(X$4&gt;=IF($L173="",1,$L173),X$4&lt;=IF($M173="",12,$M173)),$O173,0)</f>
        <v>0</v>
      </c>
      <c r="Y173" s="17" t="n">
        <f aca="false">IF(AND(Y$4&gt;=IF($L173="",1,$L173),Y$4&lt;=IF($M173="",12,$M173)),$O173,0)</f>
        <v>0</v>
      </c>
      <c r="Z173" s="17" t="n">
        <f aca="false">IF(AND(Z$4&gt;=IF($L173="",1,$L173),Z$4&lt;=IF($M173="",12,$M173)),$O173,0)</f>
        <v>0</v>
      </c>
      <c r="AA173" s="17" t="n">
        <f aca="false">IF(AND(AA$4&gt;=IF($L173="",1,$L173),AA$4&lt;=IF($M173="",12,$M173)),$O173,0)</f>
        <v>0</v>
      </c>
      <c r="AB173" s="18" t="n">
        <f aca="false">SUM(P173:AA173)</f>
        <v>0</v>
      </c>
    </row>
    <row r="174" customFormat="false" ht="15" hidden="false" customHeight="false" outlineLevel="0" collapsed="false">
      <c r="A174" s="42" t="s">
        <v>425</v>
      </c>
      <c r="B174" s="25" t="s">
        <v>72</v>
      </c>
      <c r="C174" s="43" t="s">
        <v>260</v>
      </c>
      <c r="D174" s="44" t="s">
        <v>253</v>
      </c>
      <c r="E174" s="45" t="n">
        <v>1</v>
      </c>
      <c r="F174" s="40"/>
      <c r="G174" s="46" t="n">
        <f aca="false">IFERROR(IF($F174&gt;0,MAX(0,INDEX('XERO ACTUALS'!$T$5:$T$132,MATCH($A174,'XERO ACTUALS'!$A$5:$A$132,0))-$F174),INDEX('XERO ACTUALS'!$T$5:$T$132,MATCH($A174,'XERO ACTUALS'!$A$5:$A$132,0)))*IF($E174="",1,$E174),"")</f>
        <v>36.6133333333333</v>
      </c>
      <c r="H174" s="40"/>
      <c r="I174" s="26" t="s">
        <v>254</v>
      </c>
      <c r="J174" s="32"/>
      <c r="K174" s="27" t="n">
        <v>0</v>
      </c>
      <c r="L174" s="26" t="n">
        <v>1</v>
      </c>
      <c r="M174" s="26" t="n">
        <v>12</v>
      </c>
      <c r="N174" s="47" t="s">
        <v>255</v>
      </c>
      <c r="O174" s="18" t="n">
        <f aca="false">IF($N174="N",0,IF($A174="",0,(IF($J174&lt;&gt;"",$J174,IF($I174="BUDGET",IF($H174="",0,$H174),IF($G174="",0,$G174))))*(1+IF($K174="",0,$K174))))</f>
        <v>36.6133333333333</v>
      </c>
      <c r="P174" s="17" t="n">
        <f aca="false">IF(AND(P$4&gt;=IF($L174="",1,$L174),P$4&lt;=IF($M174="",12,$M174)),$O174,0)</f>
        <v>36.6133333333333</v>
      </c>
      <c r="Q174" s="17" t="n">
        <f aca="false">IF(AND(Q$4&gt;=IF($L174="",1,$L174),Q$4&lt;=IF($M174="",12,$M174)),$O174,0)</f>
        <v>36.6133333333333</v>
      </c>
      <c r="R174" s="17" t="n">
        <f aca="false">IF(AND(R$4&gt;=IF($L174="",1,$L174),R$4&lt;=IF($M174="",12,$M174)),$O174,0)</f>
        <v>36.6133333333333</v>
      </c>
      <c r="S174" s="17" t="n">
        <f aca="false">IF(AND(S$4&gt;=IF($L174="",1,$L174),S$4&lt;=IF($M174="",12,$M174)),$O174,0)</f>
        <v>36.6133333333333</v>
      </c>
      <c r="T174" s="17" t="n">
        <f aca="false">IF(AND(T$4&gt;=IF($L174="",1,$L174),T$4&lt;=IF($M174="",12,$M174)),$O174,0)</f>
        <v>36.6133333333333</v>
      </c>
      <c r="U174" s="17" t="n">
        <f aca="false">IF(AND(U$4&gt;=IF($L174="",1,$L174),U$4&lt;=IF($M174="",12,$M174)),$O174,0)</f>
        <v>36.6133333333333</v>
      </c>
      <c r="V174" s="17" t="n">
        <f aca="false">IF(AND(V$4&gt;=IF($L174="",1,$L174),V$4&lt;=IF($M174="",12,$M174)),$O174,0)</f>
        <v>36.6133333333333</v>
      </c>
      <c r="W174" s="17" t="n">
        <f aca="false">IF(AND(W$4&gt;=IF($L174="",1,$L174),W$4&lt;=IF($M174="",12,$M174)),$O174,0)</f>
        <v>36.6133333333333</v>
      </c>
      <c r="X174" s="17" t="n">
        <f aca="false">IF(AND(X$4&gt;=IF($L174="",1,$L174),X$4&lt;=IF($M174="",12,$M174)),$O174,0)</f>
        <v>36.6133333333333</v>
      </c>
      <c r="Y174" s="17" t="n">
        <f aca="false">IF(AND(Y$4&gt;=IF($L174="",1,$L174),Y$4&lt;=IF($M174="",12,$M174)),$O174,0)</f>
        <v>36.6133333333333</v>
      </c>
      <c r="Z174" s="17" t="n">
        <f aca="false">IF(AND(Z$4&gt;=IF($L174="",1,$L174),Z$4&lt;=IF($M174="",12,$M174)),$O174,0)</f>
        <v>36.6133333333333</v>
      </c>
      <c r="AA174" s="17" t="n">
        <f aca="false">IF(AND(AA$4&gt;=IF($L174="",1,$L174),AA$4&lt;=IF($M174="",12,$M174)),$O174,0)</f>
        <v>36.6133333333333</v>
      </c>
      <c r="AB174" s="18" t="n">
        <f aca="false">SUM(P174:AA174)</f>
        <v>439.36</v>
      </c>
    </row>
    <row r="175" customFormat="false" ht="15" hidden="false" customHeight="false" outlineLevel="0" collapsed="false">
      <c r="A175" s="42" t="s">
        <v>426</v>
      </c>
      <c r="B175" s="25" t="s">
        <v>72</v>
      </c>
      <c r="C175" s="43" t="s">
        <v>260</v>
      </c>
      <c r="D175" s="50" t="s">
        <v>285</v>
      </c>
      <c r="E175" s="45" t="n">
        <v>1</v>
      </c>
      <c r="F175" s="40"/>
      <c r="G175" s="46" t="n">
        <f aca="false">IFERROR(IF($F175&gt;0,MAX(0,INDEX('XERO ACTUALS'!$T$5:$T$132,MATCH($A175,'XERO ACTUALS'!$A$5:$A$132,0))-$F175),INDEX('XERO ACTUALS'!$T$5:$T$132,MATCH($A175,'XERO ACTUALS'!$A$5:$A$132,0)))*IF($E175="",1,$E175),"")</f>
        <v>36.1033683278193</v>
      </c>
      <c r="H175" s="40"/>
      <c r="I175" s="26" t="s">
        <v>254</v>
      </c>
      <c r="J175" s="32"/>
      <c r="K175" s="27" t="n">
        <v>0</v>
      </c>
      <c r="L175" s="26" t="n">
        <v>1</v>
      </c>
      <c r="M175" s="26" t="n">
        <v>12</v>
      </c>
      <c r="N175" s="47" t="s">
        <v>267</v>
      </c>
      <c r="O175" s="18" t="n">
        <f aca="false">IF($N175="N",0,IF($A175="",0,(IF($J175&lt;&gt;"",$J175,IF($I175="BUDGET",IF($H175="",0,$H175),IF($G175="",0,$G175))))*(1+IF($K175="",0,$K175))))</f>
        <v>0</v>
      </c>
      <c r="P175" s="17" t="n">
        <f aca="false">IF(AND(P$4&gt;=IF($L175="",1,$L175),P$4&lt;=IF($M175="",12,$M175)),$O175,0)</f>
        <v>0</v>
      </c>
      <c r="Q175" s="17" t="n">
        <f aca="false">IF(AND(Q$4&gt;=IF($L175="",1,$L175),Q$4&lt;=IF($M175="",12,$M175)),$O175,0)</f>
        <v>0</v>
      </c>
      <c r="R175" s="17" t="n">
        <f aca="false">IF(AND(R$4&gt;=IF($L175="",1,$L175),R$4&lt;=IF($M175="",12,$M175)),$O175,0)</f>
        <v>0</v>
      </c>
      <c r="S175" s="17" t="n">
        <f aca="false">IF(AND(S$4&gt;=IF($L175="",1,$L175),S$4&lt;=IF($M175="",12,$M175)),$O175,0)</f>
        <v>0</v>
      </c>
      <c r="T175" s="17" t="n">
        <f aca="false">IF(AND(T$4&gt;=IF($L175="",1,$L175),T$4&lt;=IF($M175="",12,$M175)),$O175,0)</f>
        <v>0</v>
      </c>
      <c r="U175" s="17" t="n">
        <f aca="false">IF(AND(U$4&gt;=IF($L175="",1,$L175),U$4&lt;=IF($M175="",12,$M175)),$O175,0)</f>
        <v>0</v>
      </c>
      <c r="V175" s="17" t="n">
        <f aca="false">IF(AND(V$4&gt;=IF($L175="",1,$L175),V$4&lt;=IF($M175="",12,$M175)),$O175,0)</f>
        <v>0</v>
      </c>
      <c r="W175" s="17" t="n">
        <f aca="false">IF(AND(W$4&gt;=IF($L175="",1,$L175),W$4&lt;=IF($M175="",12,$M175)),$O175,0)</f>
        <v>0</v>
      </c>
      <c r="X175" s="17" t="n">
        <f aca="false">IF(AND(X$4&gt;=IF($L175="",1,$L175),X$4&lt;=IF($M175="",12,$M175)),$O175,0)</f>
        <v>0</v>
      </c>
      <c r="Y175" s="17" t="n">
        <f aca="false">IF(AND(Y$4&gt;=IF($L175="",1,$L175),Y$4&lt;=IF($M175="",12,$M175)),$O175,0)</f>
        <v>0</v>
      </c>
      <c r="Z175" s="17" t="n">
        <f aca="false">IF(AND(Z$4&gt;=IF($L175="",1,$L175),Z$4&lt;=IF($M175="",12,$M175)),$O175,0)</f>
        <v>0</v>
      </c>
      <c r="AA175" s="17" t="n">
        <f aca="false">IF(AND(AA$4&gt;=IF($L175="",1,$L175),AA$4&lt;=IF($M175="",12,$M175)),$O175,0)</f>
        <v>0</v>
      </c>
      <c r="AB175" s="18" t="n">
        <f aca="false">SUM(P175:AA175)</f>
        <v>0</v>
      </c>
    </row>
    <row r="176" customFormat="false" ht="15" hidden="false" customHeight="false" outlineLevel="0" collapsed="false">
      <c r="A176" s="42" t="s">
        <v>427</v>
      </c>
      <c r="B176" s="25" t="s">
        <v>72</v>
      </c>
      <c r="C176" s="43" t="s">
        <v>260</v>
      </c>
      <c r="D176" s="50" t="s">
        <v>285</v>
      </c>
      <c r="E176" s="45" t="n">
        <v>1</v>
      </c>
      <c r="F176" s="40"/>
      <c r="G176" s="46" t="n">
        <f aca="false">IFERROR(IF($F176&gt;0,MAX(0,INDEX('XERO ACTUALS'!$T$5:$T$132,MATCH($A176,'XERO ACTUALS'!$A$5:$A$132,0))-$F176),INDEX('XERO ACTUALS'!$T$5:$T$132,MATCH($A176,'XERO ACTUALS'!$A$5:$A$132,0)))*IF($E176="",1,$E176),"")</f>
        <v>36.0799228905619</v>
      </c>
      <c r="H176" s="40"/>
      <c r="I176" s="26" t="s">
        <v>254</v>
      </c>
      <c r="J176" s="32"/>
      <c r="K176" s="27" t="n">
        <v>0</v>
      </c>
      <c r="L176" s="26" t="n">
        <v>1</v>
      </c>
      <c r="M176" s="26" t="n">
        <v>12</v>
      </c>
      <c r="N176" s="47" t="s">
        <v>267</v>
      </c>
      <c r="O176" s="18" t="n">
        <f aca="false">IF($N176="N",0,IF($A176="",0,(IF($J176&lt;&gt;"",$J176,IF($I176="BUDGET",IF($H176="",0,$H176),IF($G176="",0,$G176))))*(1+IF($K176="",0,$K176))))</f>
        <v>0</v>
      </c>
      <c r="P176" s="17" t="n">
        <f aca="false">IF(AND(P$4&gt;=IF($L176="",1,$L176),P$4&lt;=IF($M176="",12,$M176)),$O176,0)</f>
        <v>0</v>
      </c>
      <c r="Q176" s="17" t="n">
        <f aca="false">IF(AND(Q$4&gt;=IF($L176="",1,$L176),Q$4&lt;=IF($M176="",12,$M176)),$O176,0)</f>
        <v>0</v>
      </c>
      <c r="R176" s="17" t="n">
        <f aca="false">IF(AND(R$4&gt;=IF($L176="",1,$L176),R$4&lt;=IF($M176="",12,$M176)),$O176,0)</f>
        <v>0</v>
      </c>
      <c r="S176" s="17" t="n">
        <f aca="false">IF(AND(S$4&gt;=IF($L176="",1,$L176),S$4&lt;=IF($M176="",12,$M176)),$O176,0)</f>
        <v>0</v>
      </c>
      <c r="T176" s="17" t="n">
        <f aca="false">IF(AND(T$4&gt;=IF($L176="",1,$L176),T$4&lt;=IF($M176="",12,$M176)),$O176,0)</f>
        <v>0</v>
      </c>
      <c r="U176" s="17" t="n">
        <f aca="false">IF(AND(U$4&gt;=IF($L176="",1,$L176),U$4&lt;=IF($M176="",12,$M176)),$O176,0)</f>
        <v>0</v>
      </c>
      <c r="V176" s="17" t="n">
        <f aca="false">IF(AND(V$4&gt;=IF($L176="",1,$L176),V$4&lt;=IF($M176="",12,$M176)),$O176,0)</f>
        <v>0</v>
      </c>
      <c r="W176" s="17" t="n">
        <f aca="false">IF(AND(W$4&gt;=IF($L176="",1,$L176),W$4&lt;=IF($M176="",12,$M176)),$O176,0)</f>
        <v>0</v>
      </c>
      <c r="X176" s="17" t="n">
        <f aca="false">IF(AND(X$4&gt;=IF($L176="",1,$L176),X$4&lt;=IF($M176="",12,$M176)),$O176,0)</f>
        <v>0</v>
      </c>
      <c r="Y176" s="17" t="n">
        <f aca="false">IF(AND(Y$4&gt;=IF($L176="",1,$L176),Y$4&lt;=IF($M176="",12,$M176)),$O176,0)</f>
        <v>0</v>
      </c>
      <c r="Z176" s="17" t="n">
        <f aca="false">IF(AND(Z$4&gt;=IF($L176="",1,$L176),Z$4&lt;=IF($M176="",12,$M176)),$O176,0)</f>
        <v>0</v>
      </c>
      <c r="AA176" s="17" t="n">
        <f aca="false">IF(AND(AA$4&gt;=IF($L176="",1,$L176),AA$4&lt;=IF($M176="",12,$M176)),$O176,0)</f>
        <v>0</v>
      </c>
      <c r="AB176" s="18" t="n">
        <f aca="false">SUM(P176:AA176)</f>
        <v>0</v>
      </c>
    </row>
    <row r="177" customFormat="false" ht="15" hidden="false" customHeight="false" outlineLevel="0" collapsed="false">
      <c r="A177" s="42" t="s">
        <v>428</v>
      </c>
      <c r="B177" s="25" t="s">
        <v>72</v>
      </c>
      <c r="C177" s="43" t="s">
        <v>260</v>
      </c>
      <c r="D177" s="50" t="s">
        <v>285</v>
      </c>
      <c r="E177" s="45" t="n">
        <v>1</v>
      </c>
      <c r="F177" s="40"/>
      <c r="G177" s="46" t="n">
        <f aca="false">IFERROR(IF($F177&gt;0,MAX(0,INDEX('XERO ACTUALS'!$T$5:$T$132,MATCH($A177,'XERO ACTUALS'!$A$5:$A$132,0))-$F177),INDEX('XERO ACTUALS'!$T$5:$T$132,MATCH($A177,'XERO ACTUALS'!$A$5:$A$132,0)))*IF($E177="",1,$E177),"")</f>
        <v>32.3898715711048</v>
      </c>
      <c r="H177" s="40"/>
      <c r="I177" s="26" t="s">
        <v>254</v>
      </c>
      <c r="J177" s="32"/>
      <c r="K177" s="27" t="n">
        <v>0</v>
      </c>
      <c r="L177" s="26" t="n">
        <v>1</v>
      </c>
      <c r="M177" s="26" t="n">
        <v>12</v>
      </c>
      <c r="N177" s="47" t="s">
        <v>267</v>
      </c>
      <c r="O177" s="18" t="n">
        <f aca="false">IF($N177="N",0,IF($A177="",0,(IF($J177&lt;&gt;"",$J177,IF($I177="BUDGET",IF($H177="",0,$H177),IF($G177="",0,$G177))))*(1+IF($K177="",0,$K177))))</f>
        <v>0</v>
      </c>
      <c r="P177" s="17" t="n">
        <f aca="false">IF(AND(P$4&gt;=IF($L177="",1,$L177),P$4&lt;=IF($M177="",12,$M177)),$O177,0)</f>
        <v>0</v>
      </c>
      <c r="Q177" s="17" t="n">
        <f aca="false">IF(AND(Q$4&gt;=IF($L177="",1,$L177),Q$4&lt;=IF($M177="",12,$M177)),$O177,0)</f>
        <v>0</v>
      </c>
      <c r="R177" s="17" t="n">
        <f aca="false">IF(AND(R$4&gt;=IF($L177="",1,$L177),R$4&lt;=IF($M177="",12,$M177)),$O177,0)</f>
        <v>0</v>
      </c>
      <c r="S177" s="17" t="n">
        <f aca="false">IF(AND(S$4&gt;=IF($L177="",1,$L177),S$4&lt;=IF($M177="",12,$M177)),$O177,0)</f>
        <v>0</v>
      </c>
      <c r="T177" s="17" t="n">
        <f aca="false">IF(AND(T$4&gt;=IF($L177="",1,$L177),T$4&lt;=IF($M177="",12,$M177)),$O177,0)</f>
        <v>0</v>
      </c>
      <c r="U177" s="17" t="n">
        <f aca="false">IF(AND(U$4&gt;=IF($L177="",1,$L177),U$4&lt;=IF($M177="",12,$M177)),$O177,0)</f>
        <v>0</v>
      </c>
      <c r="V177" s="17" t="n">
        <f aca="false">IF(AND(V$4&gt;=IF($L177="",1,$L177),V$4&lt;=IF($M177="",12,$M177)),$O177,0)</f>
        <v>0</v>
      </c>
      <c r="W177" s="17" t="n">
        <f aca="false">IF(AND(W$4&gt;=IF($L177="",1,$L177),W$4&lt;=IF($M177="",12,$M177)),$O177,0)</f>
        <v>0</v>
      </c>
      <c r="X177" s="17" t="n">
        <f aca="false">IF(AND(X$4&gt;=IF($L177="",1,$L177),X$4&lt;=IF($M177="",12,$M177)),$O177,0)</f>
        <v>0</v>
      </c>
      <c r="Y177" s="17" t="n">
        <f aca="false">IF(AND(Y$4&gt;=IF($L177="",1,$L177),Y$4&lt;=IF($M177="",12,$M177)),$O177,0)</f>
        <v>0</v>
      </c>
      <c r="Z177" s="17" t="n">
        <f aca="false">IF(AND(Z$4&gt;=IF($L177="",1,$L177),Z$4&lt;=IF($M177="",12,$M177)),$O177,0)</f>
        <v>0</v>
      </c>
      <c r="AA177" s="17" t="n">
        <f aca="false">IF(AND(AA$4&gt;=IF($L177="",1,$L177),AA$4&lt;=IF($M177="",12,$M177)),$O177,0)</f>
        <v>0</v>
      </c>
      <c r="AB177" s="18" t="n">
        <f aca="false">SUM(P177:AA177)</f>
        <v>0</v>
      </c>
    </row>
    <row r="178" customFormat="false" ht="15" hidden="false" customHeight="false" outlineLevel="0" collapsed="false">
      <c r="A178" s="42" t="s">
        <v>429</v>
      </c>
      <c r="B178" s="25" t="s">
        <v>72</v>
      </c>
      <c r="C178" s="43" t="s">
        <v>260</v>
      </c>
      <c r="D178" s="44" t="s">
        <v>253</v>
      </c>
      <c r="E178" s="45" t="n">
        <v>1</v>
      </c>
      <c r="F178" s="40"/>
      <c r="G178" s="46" t="n">
        <f aca="false">IFERROR(IF($F178&gt;0,MAX(0,INDEX('XERO ACTUALS'!$T$5:$T$132,MATCH($A178,'XERO ACTUALS'!$A$5:$A$132,0))-$F178),INDEX('XERO ACTUALS'!$T$5:$T$132,MATCH($A178,'XERO ACTUALS'!$A$5:$A$132,0)))*IF($E178="",1,$E178),"")</f>
        <v>29.99</v>
      </c>
      <c r="H178" s="40"/>
      <c r="I178" s="26" t="s">
        <v>254</v>
      </c>
      <c r="J178" s="32"/>
      <c r="K178" s="27" t="n">
        <v>0</v>
      </c>
      <c r="L178" s="26" t="n">
        <v>1</v>
      </c>
      <c r="M178" s="26" t="n">
        <v>12</v>
      </c>
      <c r="N178" s="47" t="s">
        <v>255</v>
      </c>
      <c r="O178" s="18" t="n">
        <f aca="false">IF($N178="N",0,IF($A178="",0,(IF($J178&lt;&gt;"",$J178,IF($I178="BUDGET",IF($H178="",0,$H178),IF($G178="",0,$G178))))*(1+IF($K178="",0,$K178))))</f>
        <v>29.99</v>
      </c>
      <c r="P178" s="17" t="n">
        <f aca="false">IF(AND(P$4&gt;=IF($L178="",1,$L178),P$4&lt;=IF($M178="",12,$M178)),$O178,0)</f>
        <v>29.99</v>
      </c>
      <c r="Q178" s="17" t="n">
        <f aca="false">IF(AND(Q$4&gt;=IF($L178="",1,$L178),Q$4&lt;=IF($M178="",12,$M178)),$O178,0)</f>
        <v>29.99</v>
      </c>
      <c r="R178" s="17" t="n">
        <f aca="false">IF(AND(R$4&gt;=IF($L178="",1,$L178),R$4&lt;=IF($M178="",12,$M178)),$O178,0)</f>
        <v>29.99</v>
      </c>
      <c r="S178" s="17" t="n">
        <f aca="false">IF(AND(S$4&gt;=IF($L178="",1,$L178),S$4&lt;=IF($M178="",12,$M178)),$O178,0)</f>
        <v>29.99</v>
      </c>
      <c r="T178" s="17" t="n">
        <f aca="false">IF(AND(T$4&gt;=IF($L178="",1,$L178),T$4&lt;=IF($M178="",12,$M178)),$O178,0)</f>
        <v>29.99</v>
      </c>
      <c r="U178" s="17" t="n">
        <f aca="false">IF(AND(U$4&gt;=IF($L178="",1,$L178),U$4&lt;=IF($M178="",12,$M178)),$O178,0)</f>
        <v>29.99</v>
      </c>
      <c r="V178" s="17" t="n">
        <f aca="false">IF(AND(V$4&gt;=IF($L178="",1,$L178),V$4&lt;=IF($M178="",12,$M178)),$O178,0)</f>
        <v>29.99</v>
      </c>
      <c r="W178" s="17" t="n">
        <f aca="false">IF(AND(W$4&gt;=IF($L178="",1,$L178),W$4&lt;=IF($M178="",12,$M178)),$O178,0)</f>
        <v>29.99</v>
      </c>
      <c r="X178" s="17" t="n">
        <f aca="false">IF(AND(X$4&gt;=IF($L178="",1,$L178),X$4&lt;=IF($M178="",12,$M178)),$O178,0)</f>
        <v>29.99</v>
      </c>
      <c r="Y178" s="17" t="n">
        <f aca="false">IF(AND(Y$4&gt;=IF($L178="",1,$L178),Y$4&lt;=IF($M178="",12,$M178)),$O178,0)</f>
        <v>29.99</v>
      </c>
      <c r="Z178" s="17" t="n">
        <f aca="false">IF(AND(Z$4&gt;=IF($L178="",1,$L178),Z$4&lt;=IF($M178="",12,$M178)),$O178,0)</f>
        <v>29.99</v>
      </c>
      <c r="AA178" s="17" t="n">
        <f aca="false">IF(AND(AA$4&gt;=IF($L178="",1,$L178),AA$4&lt;=IF($M178="",12,$M178)),$O178,0)</f>
        <v>29.99</v>
      </c>
      <c r="AB178" s="18" t="n">
        <f aca="false">SUM(P178:AA178)</f>
        <v>359.88</v>
      </c>
    </row>
    <row r="179" customFormat="false" ht="15" hidden="false" customHeight="false" outlineLevel="0" collapsed="false">
      <c r="A179" s="42" t="s">
        <v>430</v>
      </c>
      <c r="B179" s="25" t="s">
        <v>72</v>
      </c>
      <c r="C179" s="43" t="s">
        <v>260</v>
      </c>
      <c r="D179" s="50" t="s">
        <v>285</v>
      </c>
      <c r="E179" s="45" t="n">
        <v>1</v>
      </c>
      <c r="F179" s="40"/>
      <c r="G179" s="46" t="n">
        <f aca="false">IFERROR(IF($F179&gt;0,MAX(0,INDEX('XERO ACTUALS'!$T$5:$T$132,MATCH($A179,'XERO ACTUALS'!$A$5:$A$132,0))-$F179),INDEX('XERO ACTUALS'!$T$5:$T$132,MATCH($A179,'XERO ACTUALS'!$A$5:$A$132,0)))*IF($E179="",1,$E179),"")</f>
        <v>29.9085627946961</v>
      </c>
      <c r="H179" s="40"/>
      <c r="I179" s="26" t="s">
        <v>254</v>
      </c>
      <c r="J179" s="32"/>
      <c r="K179" s="27" t="n">
        <v>0</v>
      </c>
      <c r="L179" s="26" t="n">
        <v>1</v>
      </c>
      <c r="M179" s="26" t="n">
        <v>12</v>
      </c>
      <c r="N179" s="47" t="s">
        <v>267</v>
      </c>
      <c r="O179" s="18" t="n">
        <f aca="false">IF($N179="N",0,IF($A179="",0,(IF($J179&lt;&gt;"",$J179,IF($I179="BUDGET",IF($H179="",0,$H179),IF($G179="",0,$G179))))*(1+IF($K179="",0,$K179))))</f>
        <v>0</v>
      </c>
      <c r="P179" s="17" t="n">
        <f aca="false">IF(AND(P$4&gt;=IF($L179="",1,$L179),P$4&lt;=IF($M179="",12,$M179)),$O179,0)</f>
        <v>0</v>
      </c>
      <c r="Q179" s="17" t="n">
        <f aca="false">IF(AND(Q$4&gt;=IF($L179="",1,$L179),Q$4&lt;=IF($M179="",12,$M179)),$O179,0)</f>
        <v>0</v>
      </c>
      <c r="R179" s="17" t="n">
        <f aca="false">IF(AND(R$4&gt;=IF($L179="",1,$L179),R$4&lt;=IF($M179="",12,$M179)),$O179,0)</f>
        <v>0</v>
      </c>
      <c r="S179" s="17" t="n">
        <f aca="false">IF(AND(S$4&gt;=IF($L179="",1,$L179),S$4&lt;=IF($M179="",12,$M179)),$O179,0)</f>
        <v>0</v>
      </c>
      <c r="T179" s="17" t="n">
        <f aca="false">IF(AND(T$4&gt;=IF($L179="",1,$L179),T$4&lt;=IF($M179="",12,$M179)),$O179,0)</f>
        <v>0</v>
      </c>
      <c r="U179" s="17" t="n">
        <f aca="false">IF(AND(U$4&gt;=IF($L179="",1,$L179),U$4&lt;=IF($M179="",12,$M179)),$O179,0)</f>
        <v>0</v>
      </c>
      <c r="V179" s="17" t="n">
        <f aca="false">IF(AND(V$4&gt;=IF($L179="",1,$L179),V$4&lt;=IF($M179="",12,$M179)),$O179,0)</f>
        <v>0</v>
      </c>
      <c r="W179" s="17" t="n">
        <f aca="false">IF(AND(W$4&gt;=IF($L179="",1,$L179),W$4&lt;=IF($M179="",12,$M179)),$O179,0)</f>
        <v>0</v>
      </c>
      <c r="X179" s="17" t="n">
        <f aca="false">IF(AND(X$4&gt;=IF($L179="",1,$L179),X$4&lt;=IF($M179="",12,$M179)),$O179,0)</f>
        <v>0</v>
      </c>
      <c r="Y179" s="17" t="n">
        <f aca="false">IF(AND(Y$4&gt;=IF($L179="",1,$L179),Y$4&lt;=IF($M179="",12,$M179)),$O179,0)</f>
        <v>0</v>
      </c>
      <c r="Z179" s="17" t="n">
        <f aca="false">IF(AND(Z$4&gt;=IF($L179="",1,$L179),Z$4&lt;=IF($M179="",12,$M179)),$O179,0)</f>
        <v>0</v>
      </c>
      <c r="AA179" s="17" t="n">
        <f aca="false">IF(AND(AA$4&gt;=IF($L179="",1,$L179),AA$4&lt;=IF($M179="",12,$M179)),$O179,0)</f>
        <v>0</v>
      </c>
      <c r="AB179" s="18" t="n">
        <f aca="false">SUM(P179:AA179)</f>
        <v>0</v>
      </c>
    </row>
    <row r="180" customFormat="false" ht="15" hidden="false" customHeight="false" outlineLevel="0" collapsed="false">
      <c r="A180" s="42" t="s">
        <v>431</v>
      </c>
      <c r="B180" s="25" t="s">
        <v>72</v>
      </c>
      <c r="C180" s="43" t="s">
        <v>260</v>
      </c>
      <c r="D180" s="44" t="s">
        <v>253</v>
      </c>
      <c r="E180" s="45" t="n">
        <v>1</v>
      </c>
      <c r="F180" s="40"/>
      <c r="G180" s="46" t="n">
        <f aca="false">IFERROR(IF($F180&gt;0,MAX(0,INDEX('XERO ACTUALS'!$T$5:$T$132,MATCH($A180,'XERO ACTUALS'!$A$5:$A$132,0))-$F180),INDEX('XERO ACTUALS'!$T$5:$T$132,MATCH($A180,'XERO ACTUALS'!$A$5:$A$132,0)))*IF($E180="",1,$E180),"")</f>
        <v>25</v>
      </c>
      <c r="H180" s="40"/>
      <c r="I180" s="26" t="s">
        <v>254</v>
      </c>
      <c r="J180" s="32"/>
      <c r="K180" s="27" t="n">
        <v>0</v>
      </c>
      <c r="L180" s="26" t="n">
        <v>1</v>
      </c>
      <c r="M180" s="26" t="n">
        <v>12</v>
      </c>
      <c r="N180" s="47" t="s">
        <v>255</v>
      </c>
      <c r="O180" s="18" t="n">
        <f aca="false">IF($N180="N",0,IF($A180="",0,(IF($J180&lt;&gt;"",$J180,IF($I180="BUDGET",IF($H180="",0,$H180),IF($G180="",0,$G180))))*(1+IF($K180="",0,$K180))))</f>
        <v>25</v>
      </c>
      <c r="P180" s="17" t="n">
        <f aca="false">IF(AND(P$4&gt;=IF($L180="",1,$L180),P$4&lt;=IF($M180="",12,$M180)),$O180,0)</f>
        <v>25</v>
      </c>
      <c r="Q180" s="17" t="n">
        <f aca="false">IF(AND(Q$4&gt;=IF($L180="",1,$L180),Q$4&lt;=IF($M180="",12,$M180)),$O180,0)</f>
        <v>25</v>
      </c>
      <c r="R180" s="17" t="n">
        <f aca="false">IF(AND(R$4&gt;=IF($L180="",1,$L180),R$4&lt;=IF($M180="",12,$M180)),$O180,0)</f>
        <v>25</v>
      </c>
      <c r="S180" s="17" t="n">
        <f aca="false">IF(AND(S$4&gt;=IF($L180="",1,$L180),S$4&lt;=IF($M180="",12,$M180)),$O180,0)</f>
        <v>25</v>
      </c>
      <c r="T180" s="17" t="n">
        <f aca="false">IF(AND(T$4&gt;=IF($L180="",1,$L180),T$4&lt;=IF($M180="",12,$M180)),$O180,0)</f>
        <v>25</v>
      </c>
      <c r="U180" s="17" t="n">
        <f aca="false">IF(AND(U$4&gt;=IF($L180="",1,$L180),U$4&lt;=IF($M180="",12,$M180)),$O180,0)</f>
        <v>25</v>
      </c>
      <c r="V180" s="17" t="n">
        <f aca="false">IF(AND(V$4&gt;=IF($L180="",1,$L180),V$4&lt;=IF($M180="",12,$M180)),$O180,0)</f>
        <v>25</v>
      </c>
      <c r="W180" s="17" t="n">
        <f aca="false">IF(AND(W$4&gt;=IF($L180="",1,$L180),W$4&lt;=IF($M180="",12,$M180)),$O180,0)</f>
        <v>25</v>
      </c>
      <c r="X180" s="17" t="n">
        <f aca="false">IF(AND(X$4&gt;=IF($L180="",1,$L180),X$4&lt;=IF($M180="",12,$M180)),$O180,0)</f>
        <v>25</v>
      </c>
      <c r="Y180" s="17" t="n">
        <f aca="false">IF(AND(Y$4&gt;=IF($L180="",1,$L180),Y$4&lt;=IF($M180="",12,$M180)),$O180,0)</f>
        <v>25</v>
      </c>
      <c r="Z180" s="17" t="n">
        <f aca="false">IF(AND(Z$4&gt;=IF($L180="",1,$L180),Z$4&lt;=IF($M180="",12,$M180)),$O180,0)</f>
        <v>25</v>
      </c>
      <c r="AA180" s="17" t="n">
        <f aca="false">IF(AND(AA$4&gt;=IF($L180="",1,$L180),AA$4&lt;=IF($M180="",12,$M180)),$O180,0)</f>
        <v>25</v>
      </c>
      <c r="AB180" s="18" t="n">
        <f aca="false">SUM(P180:AA180)</f>
        <v>300</v>
      </c>
    </row>
    <row r="181" customFormat="false" ht="15" hidden="false" customHeight="false" outlineLevel="0" collapsed="false">
      <c r="A181" s="42" t="s">
        <v>432</v>
      </c>
      <c r="B181" s="25" t="s">
        <v>72</v>
      </c>
      <c r="C181" s="43" t="s">
        <v>260</v>
      </c>
      <c r="D181" s="50" t="s">
        <v>285</v>
      </c>
      <c r="E181" s="45" t="n">
        <v>1</v>
      </c>
      <c r="F181" s="40"/>
      <c r="G181" s="46" t="n">
        <f aca="false">IFERROR(IF($F181&gt;0,MAX(0,INDEX('XERO ACTUALS'!$T$5:$T$132,MATCH($A181,'XERO ACTUALS'!$A$5:$A$132,0))-$F181),INDEX('XERO ACTUALS'!$T$5:$T$132,MATCH($A181,'XERO ACTUALS'!$A$5:$A$132,0)))*IF($E181="",1,$E181),"")</f>
        <v>22.5024096699403</v>
      </c>
      <c r="H181" s="40"/>
      <c r="I181" s="26" t="s">
        <v>254</v>
      </c>
      <c r="J181" s="32"/>
      <c r="K181" s="27" t="n">
        <v>0</v>
      </c>
      <c r="L181" s="26" t="n">
        <v>1</v>
      </c>
      <c r="M181" s="26" t="n">
        <v>12</v>
      </c>
      <c r="N181" s="47" t="s">
        <v>267</v>
      </c>
      <c r="O181" s="18" t="n">
        <f aca="false">IF($N181="N",0,IF($A181="",0,(IF($J181&lt;&gt;"",$J181,IF($I181="BUDGET",IF($H181="",0,$H181),IF($G181="",0,$G181))))*(1+IF($K181="",0,$K181))))</f>
        <v>0</v>
      </c>
      <c r="P181" s="17" t="n">
        <f aca="false">IF(AND(P$4&gt;=IF($L181="",1,$L181),P$4&lt;=IF($M181="",12,$M181)),$O181,0)</f>
        <v>0</v>
      </c>
      <c r="Q181" s="17" t="n">
        <f aca="false">IF(AND(Q$4&gt;=IF($L181="",1,$L181),Q$4&lt;=IF($M181="",12,$M181)),$O181,0)</f>
        <v>0</v>
      </c>
      <c r="R181" s="17" t="n">
        <f aca="false">IF(AND(R$4&gt;=IF($L181="",1,$L181),R$4&lt;=IF($M181="",12,$M181)),$O181,0)</f>
        <v>0</v>
      </c>
      <c r="S181" s="17" t="n">
        <f aca="false">IF(AND(S$4&gt;=IF($L181="",1,$L181),S$4&lt;=IF($M181="",12,$M181)),$O181,0)</f>
        <v>0</v>
      </c>
      <c r="T181" s="17" t="n">
        <f aca="false">IF(AND(T$4&gt;=IF($L181="",1,$L181),T$4&lt;=IF($M181="",12,$M181)),$O181,0)</f>
        <v>0</v>
      </c>
      <c r="U181" s="17" t="n">
        <f aca="false">IF(AND(U$4&gt;=IF($L181="",1,$L181),U$4&lt;=IF($M181="",12,$M181)),$O181,0)</f>
        <v>0</v>
      </c>
      <c r="V181" s="17" t="n">
        <f aca="false">IF(AND(V$4&gt;=IF($L181="",1,$L181),V$4&lt;=IF($M181="",12,$M181)),$O181,0)</f>
        <v>0</v>
      </c>
      <c r="W181" s="17" t="n">
        <f aca="false">IF(AND(W$4&gt;=IF($L181="",1,$L181),W$4&lt;=IF($M181="",12,$M181)),$O181,0)</f>
        <v>0</v>
      </c>
      <c r="X181" s="17" t="n">
        <f aca="false">IF(AND(X$4&gt;=IF($L181="",1,$L181),X$4&lt;=IF($M181="",12,$M181)),$O181,0)</f>
        <v>0</v>
      </c>
      <c r="Y181" s="17" t="n">
        <f aca="false">IF(AND(Y$4&gt;=IF($L181="",1,$L181),Y$4&lt;=IF($M181="",12,$M181)),$O181,0)</f>
        <v>0</v>
      </c>
      <c r="Z181" s="17" t="n">
        <f aca="false">IF(AND(Z$4&gt;=IF($L181="",1,$L181),Z$4&lt;=IF($M181="",12,$M181)),$O181,0)</f>
        <v>0</v>
      </c>
      <c r="AA181" s="17" t="n">
        <f aca="false">IF(AND(AA$4&gt;=IF($L181="",1,$L181),AA$4&lt;=IF($M181="",12,$M181)),$O181,0)</f>
        <v>0</v>
      </c>
      <c r="AB181" s="18" t="n">
        <f aca="false">SUM(P181:AA181)</f>
        <v>0</v>
      </c>
    </row>
    <row r="182" customFormat="false" ht="15" hidden="false" customHeight="false" outlineLevel="0" collapsed="false">
      <c r="A182" s="42" t="s">
        <v>433</v>
      </c>
      <c r="B182" s="25" t="s">
        <v>72</v>
      </c>
      <c r="C182" s="43" t="s">
        <v>260</v>
      </c>
      <c r="D182" s="50" t="s">
        <v>285</v>
      </c>
      <c r="E182" s="45" t="n">
        <v>1</v>
      </c>
      <c r="F182" s="40"/>
      <c r="G182" s="46" t="n">
        <f aca="false">IFERROR(IF($F182&gt;0,MAX(0,INDEX('XERO ACTUALS'!$T$5:$T$132,MATCH($A182,'XERO ACTUALS'!$A$5:$A$132,0))-$F182),INDEX('XERO ACTUALS'!$T$5:$T$132,MATCH($A182,'XERO ACTUALS'!$A$5:$A$132,0)))*IF($E182="",1,$E182),"")</f>
        <v>17.9748352306771</v>
      </c>
      <c r="H182" s="40"/>
      <c r="I182" s="26" t="s">
        <v>254</v>
      </c>
      <c r="J182" s="32"/>
      <c r="K182" s="27" t="n">
        <v>0</v>
      </c>
      <c r="L182" s="26" t="n">
        <v>1</v>
      </c>
      <c r="M182" s="26" t="n">
        <v>12</v>
      </c>
      <c r="N182" s="47" t="s">
        <v>267</v>
      </c>
      <c r="O182" s="18" t="n">
        <f aca="false">IF($N182="N",0,IF($A182="",0,(IF($J182&lt;&gt;"",$J182,IF($I182="BUDGET",IF($H182="",0,$H182),IF($G182="",0,$G182))))*(1+IF($K182="",0,$K182))))</f>
        <v>0</v>
      </c>
      <c r="P182" s="17" t="n">
        <f aca="false">IF(AND(P$4&gt;=IF($L182="",1,$L182),P$4&lt;=IF($M182="",12,$M182)),$O182,0)</f>
        <v>0</v>
      </c>
      <c r="Q182" s="17" t="n">
        <f aca="false">IF(AND(Q$4&gt;=IF($L182="",1,$L182),Q$4&lt;=IF($M182="",12,$M182)),$O182,0)</f>
        <v>0</v>
      </c>
      <c r="R182" s="17" t="n">
        <f aca="false">IF(AND(R$4&gt;=IF($L182="",1,$L182),R$4&lt;=IF($M182="",12,$M182)),$O182,0)</f>
        <v>0</v>
      </c>
      <c r="S182" s="17" t="n">
        <f aca="false">IF(AND(S$4&gt;=IF($L182="",1,$L182),S$4&lt;=IF($M182="",12,$M182)),$O182,0)</f>
        <v>0</v>
      </c>
      <c r="T182" s="17" t="n">
        <f aca="false">IF(AND(T$4&gt;=IF($L182="",1,$L182),T$4&lt;=IF($M182="",12,$M182)),$O182,0)</f>
        <v>0</v>
      </c>
      <c r="U182" s="17" t="n">
        <f aca="false">IF(AND(U$4&gt;=IF($L182="",1,$L182),U$4&lt;=IF($M182="",12,$M182)),$O182,0)</f>
        <v>0</v>
      </c>
      <c r="V182" s="17" t="n">
        <f aca="false">IF(AND(V$4&gt;=IF($L182="",1,$L182),V$4&lt;=IF($M182="",12,$M182)),$O182,0)</f>
        <v>0</v>
      </c>
      <c r="W182" s="17" t="n">
        <f aca="false">IF(AND(W$4&gt;=IF($L182="",1,$L182),W$4&lt;=IF($M182="",12,$M182)),$O182,0)</f>
        <v>0</v>
      </c>
      <c r="X182" s="17" t="n">
        <f aca="false">IF(AND(X$4&gt;=IF($L182="",1,$L182),X$4&lt;=IF($M182="",12,$M182)),$O182,0)</f>
        <v>0</v>
      </c>
      <c r="Y182" s="17" t="n">
        <f aca="false">IF(AND(Y$4&gt;=IF($L182="",1,$L182),Y$4&lt;=IF($M182="",12,$M182)),$O182,0)</f>
        <v>0</v>
      </c>
      <c r="Z182" s="17" t="n">
        <f aca="false">IF(AND(Z$4&gt;=IF($L182="",1,$L182),Z$4&lt;=IF($M182="",12,$M182)),$O182,0)</f>
        <v>0</v>
      </c>
      <c r="AA182" s="17" t="n">
        <f aca="false">IF(AND(AA$4&gt;=IF($L182="",1,$L182),AA$4&lt;=IF($M182="",12,$M182)),$O182,0)</f>
        <v>0</v>
      </c>
      <c r="AB182" s="18" t="n">
        <f aca="false">SUM(P182:AA182)</f>
        <v>0</v>
      </c>
    </row>
    <row r="183" customFormat="false" ht="15" hidden="false" customHeight="false" outlineLevel="0" collapsed="false">
      <c r="A183" s="42" t="s">
        <v>434</v>
      </c>
      <c r="B183" s="25" t="s">
        <v>72</v>
      </c>
      <c r="C183" s="43" t="s">
        <v>260</v>
      </c>
      <c r="D183" s="50" t="s">
        <v>285</v>
      </c>
      <c r="E183" s="45" t="n">
        <v>1</v>
      </c>
      <c r="F183" s="40"/>
      <c r="G183" s="46" t="n">
        <f aca="false">IFERROR(IF($F183&gt;0,MAX(0,INDEX('XERO ACTUALS'!$T$5:$T$132,MATCH($A183,'XERO ACTUALS'!$A$5:$A$132,0))-$F183),INDEX('XERO ACTUALS'!$T$5:$T$132,MATCH($A183,'XERO ACTUALS'!$A$5:$A$132,0)))*IF($E183="",1,$E183),"")</f>
        <v>17.4538255138458</v>
      </c>
      <c r="H183" s="40"/>
      <c r="I183" s="26" t="s">
        <v>254</v>
      </c>
      <c r="J183" s="32"/>
      <c r="K183" s="27" t="n">
        <v>0</v>
      </c>
      <c r="L183" s="26" t="n">
        <v>1</v>
      </c>
      <c r="M183" s="26" t="n">
        <v>12</v>
      </c>
      <c r="N183" s="47" t="s">
        <v>267</v>
      </c>
      <c r="O183" s="18" t="n">
        <f aca="false">IF($N183="N",0,IF($A183="",0,(IF($J183&lt;&gt;"",$J183,IF($I183="BUDGET",IF($H183="",0,$H183),IF($G183="",0,$G183))))*(1+IF($K183="",0,$K183))))</f>
        <v>0</v>
      </c>
      <c r="P183" s="17" t="n">
        <f aca="false">IF(AND(P$4&gt;=IF($L183="",1,$L183),P$4&lt;=IF($M183="",12,$M183)),$O183,0)</f>
        <v>0</v>
      </c>
      <c r="Q183" s="17" t="n">
        <f aca="false">IF(AND(Q$4&gt;=IF($L183="",1,$L183),Q$4&lt;=IF($M183="",12,$M183)),$O183,0)</f>
        <v>0</v>
      </c>
      <c r="R183" s="17" t="n">
        <f aca="false">IF(AND(R$4&gt;=IF($L183="",1,$L183),R$4&lt;=IF($M183="",12,$M183)),$O183,0)</f>
        <v>0</v>
      </c>
      <c r="S183" s="17" t="n">
        <f aca="false">IF(AND(S$4&gt;=IF($L183="",1,$L183),S$4&lt;=IF($M183="",12,$M183)),$O183,0)</f>
        <v>0</v>
      </c>
      <c r="T183" s="17" t="n">
        <f aca="false">IF(AND(T$4&gt;=IF($L183="",1,$L183),T$4&lt;=IF($M183="",12,$M183)),$O183,0)</f>
        <v>0</v>
      </c>
      <c r="U183" s="17" t="n">
        <f aca="false">IF(AND(U$4&gt;=IF($L183="",1,$L183),U$4&lt;=IF($M183="",12,$M183)),$O183,0)</f>
        <v>0</v>
      </c>
      <c r="V183" s="17" t="n">
        <f aca="false">IF(AND(V$4&gt;=IF($L183="",1,$L183),V$4&lt;=IF($M183="",12,$M183)),$O183,0)</f>
        <v>0</v>
      </c>
      <c r="W183" s="17" t="n">
        <f aca="false">IF(AND(W$4&gt;=IF($L183="",1,$L183),W$4&lt;=IF($M183="",12,$M183)),$O183,0)</f>
        <v>0</v>
      </c>
      <c r="X183" s="17" t="n">
        <f aca="false">IF(AND(X$4&gt;=IF($L183="",1,$L183),X$4&lt;=IF($M183="",12,$M183)),$O183,0)</f>
        <v>0</v>
      </c>
      <c r="Y183" s="17" t="n">
        <f aca="false">IF(AND(Y$4&gt;=IF($L183="",1,$L183),Y$4&lt;=IF($M183="",12,$M183)),$O183,0)</f>
        <v>0</v>
      </c>
      <c r="Z183" s="17" t="n">
        <f aca="false">IF(AND(Z$4&gt;=IF($L183="",1,$L183),Z$4&lt;=IF($M183="",12,$M183)),$O183,0)</f>
        <v>0</v>
      </c>
      <c r="AA183" s="17" t="n">
        <f aca="false">IF(AND(AA$4&gt;=IF($L183="",1,$L183),AA$4&lt;=IF($M183="",12,$M183)),$O183,0)</f>
        <v>0</v>
      </c>
      <c r="AB183" s="18" t="n">
        <f aca="false">SUM(P183:AA183)</f>
        <v>0</v>
      </c>
    </row>
    <row r="184" customFormat="false" ht="15" hidden="false" customHeight="false" outlineLevel="0" collapsed="false">
      <c r="A184" s="42" t="s">
        <v>435</v>
      </c>
      <c r="B184" s="25" t="s">
        <v>72</v>
      </c>
      <c r="C184" s="43" t="s">
        <v>260</v>
      </c>
      <c r="D184" s="50" t="s">
        <v>285</v>
      </c>
      <c r="E184" s="45" t="n">
        <v>1</v>
      </c>
      <c r="F184" s="40"/>
      <c r="G184" s="46" t="n">
        <f aca="false">IFERROR(IF($F184&gt;0,MAX(0,INDEX('XERO ACTUALS'!$T$5:$T$132,MATCH($A184,'XERO ACTUALS'!$A$5:$A$132,0))-$F184),INDEX('XERO ACTUALS'!$T$5:$T$132,MATCH($A184,'XERO ACTUALS'!$A$5:$A$132,0)))*IF($E184="",1,$E184),"")</f>
        <v>-15.2395342173132</v>
      </c>
      <c r="H184" s="40"/>
      <c r="I184" s="26" t="s">
        <v>254</v>
      </c>
      <c r="J184" s="32"/>
      <c r="K184" s="27" t="n">
        <v>0</v>
      </c>
      <c r="L184" s="26" t="n">
        <v>1</v>
      </c>
      <c r="M184" s="26" t="n">
        <v>12</v>
      </c>
      <c r="N184" s="47" t="s">
        <v>267</v>
      </c>
      <c r="O184" s="18" t="n">
        <f aca="false">IF($N184="N",0,IF($A184="",0,(IF($J184&lt;&gt;"",$J184,IF($I184="BUDGET",IF($H184="",0,$H184),IF($G184="",0,$G184))))*(1+IF($K184="",0,$K184))))</f>
        <v>0</v>
      </c>
      <c r="P184" s="17" t="n">
        <f aca="false">IF(AND(P$4&gt;=IF($L184="",1,$L184),P$4&lt;=IF($M184="",12,$M184)),$O184,0)</f>
        <v>0</v>
      </c>
      <c r="Q184" s="17" t="n">
        <f aca="false">IF(AND(Q$4&gt;=IF($L184="",1,$L184),Q$4&lt;=IF($M184="",12,$M184)),$O184,0)</f>
        <v>0</v>
      </c>
      <c r="R184" s="17" t="n">
        <f aca="false">IF(AND(R$4&gt;=IF($L184="",1,$L184),R$4&lt;=IF($M184="",12,$M184)),$O184,0)</f>
        <v>0</v>
      </c>
      <c r="S184" s="17" t="n">
        <f aca="false">IF(AND(S$4&gt;=IF($L184="",1,$L184),S$4&lt;=IF($M184="",12,$M184)),$O184,0)</f>
        <v>0</v>
      </c>
      <c r="T184" s="17" t="n">
        <f aca="false">IF(AND(T$4&gt;=IF($L184="",1,$L184),T$4&lt;=IF($M184="",12,$M184)),$O184,0)</f>
        <v>0</v>
      </c>
      <c r="U184" s="17" t="n">
        <f aca="false">IF(AND(U$4&gt;=IF($L184="",1,$L184),U$4&lt;=IF($M184="",12,$M184)),$O184,0)</f>
        <v>0</v>
      </c>
      <c r="V184" s="17" t="n">
        <f aca="false">IF(AND(V$4&gt;=IF($L184="",1,$L184),V$4&lt;=IF($M184="",12,$M184)),$O184,0)</f>
        <v>0</v>
      </c>
      <c r="W184" s="17" t="n">
        <f aca="false">IF(AND(W$4&gt;=IF($L184="",1,$L184),W$4&lt;=IF($M184="",12,$M184)),$O184,0)</f>
        <v>0</v>
      </c>
      <c r="X184" s="17" t="n">
        <f aca="false">IF(AND(X$4&gt;=IF($L184="",1,$L184),X$4&lt;=IF($M184="",12,$M184)),$O184,0)</f>
        <v>0</v>
      </c>
      <c r="Y184" s="17" t="n">
        <f aca="false">IF(AND(Y$4&gt;=IF($L184="",1,$L184),Y$4&lt;=IF($M184="",12,$M184)),$O184,0)</f>
        <v>0</v>
      </c>
      <c r="Z184" s="17" t="n">
        <f aca="false">IF(AND(Z$4&gt;=IF($L184="",1,$L184),Z$4&lt;=IF($M184="",12,$M184)),$O184,0)</f>
        <v>0</v>
      </c>
      <c r="AA184" s="17" t="n">
        <f aca="false">IF(AND(AA$4&gt;=IF($L184="",1,$L184),AA$4&lt;=IF($M184="",12,$M184)),$O184,0)</f>
        <v>0</v>
      </c>
      <c r="AB184" s="18" t="n">
        <f aca="false">SUM(P184:AA184)</f>
        <v>0</v>
      </c>
    </row>
    <row r="185" customFormat="false" ht="15" hidden="false" customHeight="false" outlineLevel="0" collapsed="false">
      <c r="A185" s="42" t="s">
        <v>436</v>
      </c>
      <c r="B185" s="25" t="s">
        <v>72</v>
      </c>
      <c r="C185" s="43" t="s">
        <v>260</v>
      </c>
      <c r="D185" s="50" t="s">
        <v>285</v>
      </c>
      <c r="E185" s="45" t="n">
        <v>1</v>
      </c>
      <c r="F185" s="40"/>
      <c r="G185" s="46" t="n">
        <f aca="false">IFERROR(IF($F185&gt;0,MAX(0,INDEX('XERO ACTUALS'!$T$5:$T$132,MATCH($A185,'XERO ACTUALS'!$A$5:$A$132,0))-$F185),INDEX('XERO ACTUALS'!$T$5:$T$132,MATCH($A185,'XERO ACTUALS'!$A$5:$A$132,0)))*IF($E185="",1,$E185),"")</f>
        <v>13.4563784614583</v>
      </c>
      <c r="H185" s="40"/>
      <c r="I185" s="26" t="s">
        <v>254</v>
      </c>
      <c r="J185" s="32"/>
      <c r="K185" s="27" t="n">
        <v>0</v>
      </c>
      <c r="L185" s="26" t="n">
        <v>1</v>
      </c>
      <c r="M185" s="26" t="n">
        <v>12</v>
      </c>
      <c r="N185" s="47" t="s">
        <v>267</v>
      </c>
      <c r="O185" s="18" t="n">
        <f aca="false">IF($N185="N",0,IF($A185="",0,(IF($J185&lt;&gt;"",$J185,IF($I185="BUDGET",IF($H185="",0,$H185),IF($G185="",0,$G185))))*(1+IF($K185="",0,$K185))))</f>
        <v>0</v>
      </c>
      <c r="P185" s="17" t="n">
        <f aca="false">IF(AND(P$4&gt;=IF($L185="",1,$L185),P$4&lt;=IF($M185="",12,$M185)),$O185,0)</f>
        <v>0</v>
      </c>
      <c r="Q185" s="17" t="n">
        <f aca="false">IF(AND(Q$4&gt;=IF($L185="",1,$L185),Q$4&lt;=IF($M185="",12,$M185)),$O185,0)</f>
        <v>0</v>
      </c>
      <c r="R185" s="17" t="n">
        <f aca="false">IF(AND(R$4&gt;=IF($L185="",1,$L185),R$4&lt;=IF($M185="",12,$M185)),$O185,0)</f>
        <v>0</v>
      </c>
      <c r="S185" s="17" t="n">
        <f aca="false">IF(AND(S$4&gt;=IF($L185="",1,$L185),S$4&lt;=IF($M185="",12,$M185)),$O185,0)</f>
        <v>0</v>
      </c>
      <c r="T185" s="17" t="n">
        <f aca="false">IF(AND(T$4&gt;=IF($L185="",1,$L185),T$4&lt;=IF($M185="",12,$M185)),$O185,0)</f>
        <v>0</v>
      </c>
      <c r="U185" s="17" t="n">
        <f aca="false">IF(AND(U$4&gt;=IF($L185="",1,$L185),U$4&lt;=IF($M185="",12,$M185)),$O185,0)</f>
        <v>0</v>
      </c>
      <c r="V185" s="17" t="n">
        <f aca="false">IF(AND(V$4&gt;=IF($L185="",1,$L185),V$4&lt;=IF($M185="",12,$M185)),$O185,0)</f>
        <v>0</v>
      </c>
      <c r="W185" s="17" t="n">
        <f aca="false">IF(AND(W$4&gt;=IF($L185="",1,$L185),W$4&lt;=IF($M185="",12,$M185)),$O185,0)</f>
        <v>0</v>
      </c>
      <c r="X185" s="17" t="n">
        <f aca="false">IF(AND(X$4&gt;=IF($L185="",1,$L185),X$4&lt;=IF($M185="",12,$M185)),$O185,0)</f>
        <v>0</v>
      </c>
      <c r="Y185" s="17" t="n">
        <f aca="false">IF(AND(Y$4&gt;=IF($L185="",1,$L185),Y$4&lt;=IF($M185="",12,$M185)),$O185,0)</f>
        <v>0</v>
      </c>
      <c r="Z185" s="17" t="n">
        <f aca="false">IF(AND(Z$4&gt;=IF($L185="",1,$L185),Z$4&lt;=IF($M185="",12,$M185)),$O185,0)</f>
        <v>0</v>
      </c>
      <c r="AA185" s="17" t="n">
        <f aca="false">IF(AND(AA$4&gt;=IF($L185="",1,$L185),AA$4&lt;=IF($M185="",12,$M185)),$O185,0)</f>
        <v>0</v>
      </c>
      <c r="AB185" s="18" t="n">
        <f aca="false">SUM(P185:AA185)</f>
        <v>0</v>
      </c>
    </row>
    <row r="186" customFormat="false" ht="15" hidden="false" customHeight="false" outlineLevel="0" collapsed="false">
      <c r="A186" s="42" t="s">
        <v>437</v>
      </c>
      <c r="B186" s="25" t="s">
        <v>72</v>
      </c>
      <c r="C186" s="43" t="s">
        <v>260</v>
      </c>
      <c r="D186" s="52" t="s">
        <v>297</v>
      </c>
      <c r="E186" s="45" t="n">
        <v>1</v>
      </c>
      <c r="F186" s="40"/>
      <c r="G186" s="46" t="n">
        <f aca="false">IFERROR(IF($F186&gt;0,MAX(0,INDEX('XERO ACTUALS'!$T$5:$T$132,MATCH($A186,'XERO ACTUALS'!$A$5:$A$132,0))-$F186),INDEX('XERO ACTUALS'!$T$5:$T$132,MATCH($A186,'XERO ACTUALS'!$A$5:$A$132,0)))*IF($E186="",1,$E186),"")</f>
        <v>0</v>
      </c>
      <c r="H186" s="40"/>
      <c r="I186" s="26" t="s">
        <v>254</v>
      </c>
      <c r="J186" s="32"/>
      <c r="K186" s="27" t="n">
        <v>0</v>
      </c>
      <c r="L186" s="26" t="n">
        <v>1</v>
      </c>
      <c r="M186" s="26" t="n">
        <v>12</v>
      </c>
      <c r="N186" s="47" t="s">
        <v>267</v>
      </c>
      <c r="O186" s="18" t="n">
        <f aca="false">IF($N186="N",0,IF($A186="",0,(IF($J186&lt;&gt;"",$J186,IF($I186="BUDGET",IF($H186="",0,$H186),IF($G186="",0,$G186))))*(1+IF($K186="",0,$K186))))</f>
        <v>0</v>
      </c>
      <c r="P186" s="17" t="n">
        <f aca="false">IF(AND(P$4&gt;=IF($L186="",1,$L186),P$4&lt;=IF($M186="",12,$M186)),$O186,0)</f>
        <v>0</v>
      </c>
      <c r="Q186" s="17" t="n">
        <f aca="false">IF(AND(Q$4&gt;=IF($L186="",1,$L186),Q$4&lt;=IF($M186="",12,$M186)),$O186,0)</f>
        <v>0</v>
      </c>
      <c r="R186" s="17" t="n">
        <f aca="false">IF(AND(R$4&gt;=IF($L186="",1,$L186),R$4&lt;=IF($M186="",12,$M186)),$O186,0)</f>
        <v>0</v>
      </c>
      <c r="S186" s="17" t="n">
        <f aca="false">IF(AND(S$4&gt;=IF($L186="",1,$L186),S$4&lt;=IF($M186="",12,$M186)),$O186,0)</f>
        <v>0</v>
      </c>
      <c r="T186" s="17" t="n">
        <f aca="false">IF(AND(T$4&gt;=IF($L186="",1,$L186),T$4&lt;=IF($M186="",12,$M186)),$O186,0)</f>
        <v>0</v>
      </c>
      <c r="U186" s="17" t="n">
        <f aca="false">IF(AND(U$4&gt;=IF($L186="",1,$L186),U$4&lt;=IF($M186="",12,$M186)),$O186,0)</f>
        <v>0</v>
      </c>
      <c r="V186" s="17" t="n">
        <f aca="false">IF(AND(V$4&gt;=IF($L186="",1,$L186),V$4&lt;=IF($M186="",12,$M186)),$O186,0)</f>
        <v>0</v>
      </c>
      <c r="W186" s="17" t="n">
        <f aca="false">IF(AND(W$4&gt;=IF($L186="",1,$L186),W$4&lt;=IF($M186="",12,$M186)),$O186,0)</f>
        <v>0</v>
      </c>
      <c r="X186" s="17" t="n">
        <f aca="false">IF(AND(X$4&gt;=IF($L186="",1,$L186),X$4&lt;=IF($M186="",12,$M186)),$O186,0)</f>
        <v>0</v>
      </c>
      <c r="Y186" s="17" t="n">
        <f aca="false">IF(AND(Y$4&gt;=IF($L186="",1,$L186),Y$4&lt;=IF($M186="",12,$M186)),$O186,0)</f>
        <v>0</v>
      </c>
      <c r="Z186" s="17" t="n">
        <f aca="false">IF(AND(Z$4&gt;=IF($L186="",1,$L186),Z$4&lt;=IF($M186="",12,$M186)),$O186,0)</f>
        <v>0</v>
      </c>
      <c r="AA186" s="17" t="n">
        <f aca="false">IF(AND(AA$4&gt;=IF($L186="",1,$L186),AA$4&lt;=IF($M186="",12,$M186)),$O186,0)</f>
        <v>0</v>
      </c>
      <c r="AB186" s="18" t="n">
        <f aca="false">SUM(P186:AA186)</f>
        <v>0</v>
      </c>
    </row>
    <row r="187" customFormat="false" ht="15" hidden="false" customHeight="false" outlineLevel="0" collapsed="false">
      <c r="A187" s="42" t="s">
        <v>438</v>
      </c>
      <c r="B187" s="25" t="s">
        <v>72</v>
      </c>
      <c r="C187" s="43" t="s">
        <v>260</v>
      </c>
      <c r="D187" s="52" t="s">
        <v>297</v>
      </c>
      <c r="E187" s="45" t="n">
        <v>1</v>
      </c>
      <c r="F187" s="40"/>
      <c r="G187" s="46" t="n">
        <f aca="false">IFERROR(IF($F187&gt;0,MAX(0,INDEX('XERO ACTUALS'!$T$5:$T$132,MATCH($A187,'XERO ACTUALS'!$A$5:$A$132,0))-$F187),INDEX('XERO ACTUALS'!$T$5:$T$132,MATCH($A187,'XERO ACTUALS'!$A$5:$A$132,0)))*IF($E187="",1,$E187),"")</f>
        <v>0</v>
      </c>
      <c r="H187" s="40"/>
      <c r="I187" s="26" t="s">
        <v>254</v>
      </c>
      <c r="J187" s="32"/>
      <c r="K187" s="27" t="n">
        <v>0</v>
      </c>
      <c r="L187" s="26" t="n">
        <v>1</v>
      </c>
      <c r="M187" s="26" t="n">
        <v>12</v>
      </c>
      <c r="N187" s="47" t="s">
        <v>267</v>
      </c>
      <c r="O187" s="18" t="n">
        <f aca="false">IF($N187="N",0,IF($A187="",0,(IF($J187&lt;&gt;"",$J187,IF($I187="BUDGET",IF($H187="",0,$H187),IF($G187="",0,$G187))))*(1+IF($K187="",0,$K187))))</f>
        <v>0</v>
      </c>
      <c r="P187" s="17" t="n">
        <f aca="false">IF(AND(P$4&gt;=IF($L187="",1,$L187),P$4&lt;=IF($M187="",12,$M187)),$O187,0)</f>
        <v>0</v>
      </c>
      <c r="Q187" s="17" t="n">
        <f aca="false">IF(AND(Q$4&gt;=IF($L187="",1,$L187),Q$4&lt;=IF($M187="",12,$M187)),$O187,0)</f>
        <v>0</v>
      </c>
      <c r="R187" s="17" t="n">
        <f aca="false">IF(AND(R$4&gt;=IF($L187="",1,$L187),R$4&lt;=IF($M187="",12,$M187)),$O187,0)</f>
        <v>0</v>
      </c>
      <c r="S187" s="17" t="n">
        <f aca="false">IF(AND(S$4&gt;=IF($L187="",1,$L187),S$4&lt;=IF($M187="",12,$M187)),$O187,0)</f>
        <v>0</v>
      </c>
      <c r="T187" s="17" t="n">
        <f aca="false">IF(AND(T$4&gt;=IF($L187="",1,$L187),T$4&lt;=IF($M187="",12,$M187)),$O187,0)</f>
        <v>0</v>
      </c>
      <c r="U187" s="17" t="n">
        <f aca="false">IF(AND(U$4&gt;=IF($L187="",1,$L187),U$4&lt;=IF($M187="",12,$M187)),$O187,0)</f>
        <v>0</v>
      </c>
      <c r="V187" s="17" t="n">
        <f aca="false">IF(AND(V$4&gt;=IF($L187="",1,$L187),V$4&lt;=IF($M187="",12,$M187)),$O187,0)</f>
        <v>0</v>
      </c>
      <c r="W187" s="17" t="n">
        <f aca="false">IF(AND(W$4&gt;=IF($L187="",1,$L187),W$4&lt;=IF($M187="",12,$M187)),$O187,0)</f>
        <v>0</v>
      </c>
      <c r="X187" s="17" t="n">
        <f aca="false">IF(AND(X$4&gt;=IF($L187="",1,$L187),X$4&lt;=IF($M187="",12,$M187)),$O187,0)</f>
        <v>0</v>
      </c>
      <c r="Y187" s="17" t="n">
        <f aca="false">IF(AND(Y$4&gt;=IF($L187="",1,$L187),Y$4&lt;=IF($M187="",12,$M187)),$O187,0)</f>
        <v>0</v>
      </c>
      <c r="Z187" s="17" t="n">
        <f aca="false">IF(AND(Z$4&gt;=IF($L187="",1,$L187),Z$4&lt;=IF($M187="",12,$M187)),$O187,0)</f>
        <v>0</v>
      </c>
      <c r="AA187" s="17" t="n">
        <f aca="false">IF(AND(AA$4&gt;=IF($L187="",1,$L187),AA$4&lt;=IF($M187="",12,$M187)),$O187,0)</f>
        <v>0</v>
      </c>
      <c r="AB187" s="18" t="n">
        <f aca="false">SUM(P187:AA187)</f>
        <v>0</v>
      </c>
    </row>
    <row r="188" customFormat="false" ht="15" hidden="false" customHeight="false" outlineLevel="0" collapsed="false">
      <c r="A188" s="25"/>
      <c r="B188" s="25"/>
      <c r="C188" s="43" t="s">
        <v>439</v>
      </c>
      <c r="D188" s="44"/>
      <c r="E188" s="45"/>
      <c r="F188" s="40"/>
      <c r="G188" s="46"/>
      <c r="H188" s="32"/>
      <c r="I188" s="26"/>
      <c r="J188" s="32"/>
      <c r="K188" s="27"/>
      <c r="L188" s="26"/>
      <c r="M188" s="26"/>
      <c r="N188" s="47"/>
      <c r="O188" s="18" t="n">
        <f aca="false">IF($N188="N",0,IF($A188="",0,(IF($J188&lt;&gt;"",$J188,IF($I188="BUDGET",IF($H188="",0,$H188),IF($G188="",0,$G188))))*(1+IF($K188="",0,$K188))))</f>
        <v>0</v>
      </c>
      <c r="P188" s="17" t="n">
        <f aca="false">IF(AND(P$4&gt;=IF($L188="",1,$L188),P$4&lt;=IF($M188="",12,$M188)),$O188,0)</f>
        <v>0</v>
      </c>
      <c r="Q188" s="17" t="n">
        <f aca="false">IF(AND(Q$4&gt;=IF($L188="",1,$L188),Q$4&lt;=IF($M188="",12,$M188)),$O188,0)</f>
        <v>0</v>
      </c>
      <c r="R188" s="17" t="n">
        <f aca="false">IF(AND(R$4&gt;=IF($L188="",1,$L188),R$4&lt;=IF($M188="",12,$M188)),$O188,0)</f>
        <v>0</v>
      </c>
      <c r="S188" s="17" t="n">
        <f aca="false">IF(AND(S$4&gt;=IF($L188="",1,$L188),S$4&lt;=IF($M188="",12,$M188)),$O188,0)</f>
        <v>0</v>
      </c>
      <c r="T188" s="17" t="n">
        <f aca="false">IF(AND(T$4&gt;=IF($L188="",1,$L188),T$4&lt;=IF($M188="",12,$M188)),$O188,0)</f>
        <v>0</v>
      </c>
      <c r="U188" s="17" t="n">
        <f aca="false">IF(AND(U$4&gt;=IF($L188="",1,$L188),U$4&lt;=IF($M188="",12,$M188)),$O188,0)</f>
        <v>0</v>
      </c>
      <c r="V188" s="17" t="n">
        <f aca="false">IF(AND(V$4&gt;=IF($L188="",1,$L188),V$4&lt;=IF($M188="",12,$M188)),$O188,0)</f>
        <v>0</v>
      </c>
      <c r="W188" s="17" t="n">
        <f aca="false">IF(AND(W$4&gt;=IF($L188="",1,$L188),W$4&lt;=IF($M188="",12,$M188)),$O188,0)</f>
        <v>0</v>
      </c>
      <c r="X188" s="17" t="n">
        <f aca="false">IF(AND(X$4&gt;=IF($L188="",1,$L188),X$4&lt;=IF($M188="",12,$M188)),$O188,0)</f>
        <v>0</v>
      </c>
      <c r="Y188" s="17" t="n">
        <f aca="false">IF(AND(Y$4&gt;=IF($L188="",1,$L188),Y$4&lt;=IF($M188="",12,$M188)),$O188,0)</f>
        <v>0</v>
      </c>
      <c r="Z188" s="17" t="n">
        <f aca="false">IF(AND(Z$4&gt;=IF($L188="",1,$L188),Z$4&lt;=IF($M188="",12,$M188)),$O188,0)</f>
        <v>0</v>
      </c>
      <c r="AA188" s="17" t="n">
        <f aca="false">IF(AND(AA$4&gt;=IF($L188="",1,$L188),AA$4&lt;=IF($M188="",12,$M188)),$O188,0)</f>
        <v>0</v>
      </c>
      <c r="AB188" s="18" t="n">
        <f aca="false">SUM(P188:AA188)</f>
        <v>0</v>
      </c>
    </row>
    <row r="189" customFormat="false" ht="15" hidden="false" customHeight="false" outlineLevel="0" collapsed="false">
      <c r="A189" s="25"/>
      <c r="B189" s="25"/>
      <c r="C189" s="43" t="s">
        <v>439</v>
      </c>
      <c r="D189" s="44"/>
      <c r="E189" s="45"/>
      <c r="F189" s="40"/>
      <c r="G189" s="46"/>
      <c r="H189" s="32"/>
      <c r="I189" s="26"/>
      <c r="J189" s="32"/>
      <c r="K189" s="27"/>
      <c r="L189" s="26"/>
      <c r="M189" s="26"/>
      <c r="N189" s="47"/>
      <c r="O189" s="18" t="n">
        <f aca="false">IF($N189="N",0,IF($A189="",0,(IF($J189&lt;&gt;"",$J189,IF($I189="BUDGET",IF($H189="",0,$H189),IF($G189="",0,$G189))))*(1+IF($K189="",0,$K189))))</f>
        <v>0</v>
      </c>
      <c r="P189" s="17" t="n">
        <f aca="false">IF(AND(P$4&gt;=IF($L189="",1,$L189),P$4&lt;=IF($M189="",12,$M189)),$O189,0)</f>
        <v>0</v>
      </c>
      <c r="Q189" s="17" t="n">
        <f aca="false">IF(AND(Q$4&gt;=IF($L189="",1,$L189),Q$4&lt;=IF($M189="",12,$M189)),$O189,0)</f>
        <v>0</v>
      </c>
      <c r="R189" s="17" t="n">
        <f aca="false">IF(AND(R$4&gt;=IF($L189="",1,$L189),R$4&lt;=IF($M189="",12,$M189)),$O189,0)</f>
        <v>0</v>
      </c>
      <c r="S189" s="17" t="n">
        <f aca="false">IF(AND(S$4&gt;=IF($L189="",1,$L189),S$4&lt;=IF($M189="",12,$M189)),$O189,0)</f>
        <v>0</v>
      </c>
      <c r="T189" s="17" t="n">
        <f aca="false">IF(AND(T$4&gt;=IF($L189="",1,$L189),T$4&lt;=IF($M189="",12,$M189)),$O189,0)</f>
        <v>0</v>
      </c>
      <c r="U189" s="17" t="n">
        <f aca="false">IF(AND(U$4&gt;=IF($L189="",1,$L189),U$4&lt;=IF($M189="",12,$M189)),$O189,0)</f>
        <v>0</v>
      </c>
      <c r="V189" s="17" t="n">
        <f aca="false">IF(AND(V$4&gt;=IF($L189="",1,$L189),V$4&lt;=IF($M189="",12,$M189)),$O189,0)</f>
        <v>0</v>
      </c>
      <c r="W189" s="17" t="n">
        <f aca="false">IF(AND(W$4&gt;=IF($L189="",1,$L189),W$4&lt;=IF($M189="",12,$M189)),$O189,0)</f>
        <v>0</v>
      </c>
      <c r="X189" s="17" t="n">
        <f aca="false">IF(AND(X$4&gt;=IF($L189="",1,$L189),X$4&lt;=IF($M189="",12,$M189)),$O189,0)</f>
        <v>0</v>
      </c>
      <c r="Y189" s="17" t="n">
        <f aca="false">IF(AND(Y$4&gt;=IF($L189="",1,$L189),Y$4&lt;=IF($M189="",12,$M189)),$O189,0)</f>
        <v>0</v>
      </c>
      <c r="Z189" s="17" t="n">
        <f aca="false">IF(AND(Z$4&gt;=IF($L189="",1,$L189),Z$4&lt;=IF($M189="",12,$M189)),$O189,0)</f>
        <v>0</v>
      </c>
      <c r="AA189" s="17" t="n">
        <f aca="false">IF(AND(AA$4&gt;=IF($L189="",1,$L189),AA$4&lt;=IF($M189="",12,$M189)),$O189,0)</f>
        <v>0</v>
      </c>
      <c r="AB189" s="18" t="n">
        <f aca="false">SUM(P189:AA189)</f>
        <v>0</v>
      </c>
    </row>
    <row r="190" customFormat="false" ht="15" hidden="false" customHeight="false" outlineLevel="0" collapsed="false">
      <c r="A190" s="25"/>
      <c r="B190" s="25"/>
      <c r="C190" s="43" t="s">
        <v>439</v>
      </c>
      <c r="D190" s="44"/>
      <c r="E190" s="45"/>
      <c r="F190" s="40"/>
      <c r="G190" s="46"/>
      <c r="H190" s="32"/>
      <c r="I190" s="26"/>
      <c r="J190" s="32"/>
      <c r="K190" s="27"/>
      <c r="L190" s="26"/>
      <c r="M190" s="26"/>
      <c r="N190" s="47"/>
      <c r="O190" s="18" t="n">
        <f aca="false">IF($N190="N",0,IF($A190="",0,(IF($J190&lt;&gt;"",$J190,IF($I190="BUDGET",IF($H190="",0,$H190),IF($G190="",0,$G190))))*(1+IF($K190="",0,$K190))))</f>
        <v>0</v>
      </c>
      <c r="P190" s="17" t="n">
        <f aca="false">IF(AND(P$4&gt;=IF($L190="",1,$L190),P$4&lt;=IF($M190="",12,$M190)),$O190,0)</f>
        <v>0</v>
      </c>
      <c r="Q190" s="17" t="n">
        <f aca="false">IF(AND(Q$4&gt;=IF($L190="",1,$L190),Q$4&lt;=IF($M190="",12,$M190)),$O190,0)</f>
        <v>0</v>
      </c>
      <c r="R190" s="17" t="n">
        <f aca="false">IF(AND(R$4&gt;=IF($L190="",1,$L190),R$4&lt;=IF($M190="",12,$M190)),$O190,0)</f>
        <v>0</v>
      </c>
      <c r="S190" s="17" t="n">
        <f aca="false">IF(AND(S$4&gt;=IF($L190="",1,$L190),S$4&lt;=IF($M190="",12,$M190)),$O190,0)</f>
        <v>0</v>
      </c>
      <c r="T190" s="17" t="n">
        <f aca="false">IF(AND(T$4&gt;=IF($L190="",1,$L190),T$4&lt;=IF($M190="",12,$M190)),$O190,0)</f>
        <v>0</v>
      </c>
      <c r="U190" s="17" t="n">
        <f aca="false">IF(AND(U$4&gt;=IF($L190="",1,$L190),U$4&lt;=IF($M190="",12,$M190)),$O190,0)</f>
        <v>0</v>
      </c>
      <c r="V190" s="17" t="n">
        <f aca="false">IF(AND(V$4&gt;=IF($L190="",1,$L190),V$4&lt;=IF($M190="",12,$M190)),$O190,0)</f>
        <v>0</v>
      </c>
      <c r="W190" s="17" t="n">
        <f aca="false">IF(AND(W$4&gt;=IF($L190="",1,$L190),W$4&lt;=IF($M190="",12,$M190)),$O190,0)</f>
        <v>0</v>
      </c>
      <c r="X190" s="17" t="n">
        <f aca="false">IF(AND(X$4&gt;=IF($L190="",1,$L190),X$4&lt;=IF($M190="",12,$M190)),$O190,0)</f>
        <v>0</v>
      </c>
      <c r="Y190" s="17" t="n">
        <f aca="false">IF(AND(Y$4&gt;=IF($L190="",1,$L190),Y$4&lt;=IF($M190="",12,$M190)),$O190,0)</f>
        <v>0</v>
      </c>
      <c r="Z190" s="17" t="n">
        <f aca="false">IF(AND(Z$4&gt;=IF($L190="",1,$L190),Z$4&lt;=IF($M190="",12,$M190)),$O190,0)</f>
        <v>0</v>
      </c>
      <c r="AA190" s="17" t="n">
        <f aca="false">IF(AND(AA$4&gt;=IF($L190="",1,$L190),AA$4&lt;=IF($M190="",12,$M190)),$O190,0)</f>
        <v>0</v>
      </c>
      <c r="AB190" s="18" t="n">
        <f aca="false">SUM(P190:AA190)</f>
        <v>0</v>
      </c>
    </row>
    <row r="191" customFormat="false" ht="15" hidden="false" customHeight="false" outlineLevel="0" collapsed="false">
      <c r="A191" s="25"/>
      <c r="B191" s="25"/>
      <c r="C191" s="43" t="s">
        <v>439</v>
      </c>
      <c r="D191" s="44"/>
      <c r="E191" s="45"/>
      <c r="F191" s="40"/>
      <c r="G191" s="46"/>
      <c r="H191" s="32"/>
      <c r="I191" s="26"/>
      <c r="J191" s="32"/>
      <c r="K191" s="27"/>
      <c r="L191" s="26"/>
      <c r="M191" s="26"/>
      <c r="N191" s="47"/>
      <c r="O191" s="18" t="n">
        <f aca="false">IF($N191="N",0,IF($A191="",0,(IF($J191&lt;&gt;"",$J191,IF($I191="BUDGET",IF($H191="",0,$H191),IF($G191="",0,$G191))))*(1+IF($K191="",0,$K191))))</f>
        <v>0</v>
      </c>
      <c r="P191" s="17" t="n">
        <f aca="false">IF(AND(P$4&gt;=IF($L191="",1,$L191),P$4&lt;=IF($M191="",12,$M191)),$O191,0)</f>
        <v>0</v>
      </c>
      <c r="Q191" s="17" t="n">
        <f aca="false">IF(AND(Q$4&gt;=IF($L191="",1,$L191),Q$4&lt;=IF($M191="",12,$M191)),$O191,0)</f>
        <v>0</v>
      </c>
      <c r="R191" s="17" t="n">
        <f aca="false">IF(AND(R$4&gt;=IF($L191="",1,$L191),R$4&lt;=IF($M191="",12,$M191)),$O191,0)</f>
        <v>0</v>
      </c>
      <c r="S191" s="17" t="n">
        <f aca="false">IF(AND(S$4&gt;=IF($L191="",1,$L191),S$4&lt;=IF($M191="",12,$M191)),$O191,0)</f>
        <v>0</v>
      </c>
      <c r="T191" s="17" t="n">
        <f aca="false">IF(AND(T$4&gt;=IF($L191="",1,$L191),T$4&lt;=IF($M191="",12,$M191)),$O191,0)</f>
        <v>0</v>
      </c>
      <c r="U191" s="17" t="n">
        <f aca="false">IF(AND(U$4&gt;=IF($L191="",1,$L191),U$4&lt;=IF($M191="",12,$M191)),$O191,0)</f>
        <v>0</v>
      </c>
      <c r="V191" s="17" t="n">
        <f aca="false">IF(AND(V$4&gt;=IF($L191="",1,$L191),V$4&lt;=IF($M191="",12,$M191)),$O191,0)</f>
        <v>0</v>
      </c>
      <c r="W191" s="17" t="n">
        <f aca="false">IF(AND(W$4&gt;=IF($L191="",1,$L191),W$4&lt;=IF($M191="",12,$M191)),$O191,0)</f>
        <v>0</v>
      </c>
      <c r="X191" s="17" t="n">
        <f aca="false">IF(AND(X$4&gt;=IF($L191="",1,$L191),X$4&lt;=IF($M191="",12,$M191)),$O191,0)</f>
        <v>0</v>
      </c>
      <c r="Y191" s="17" t="n">
        <f aca="false">IF(AND(Y$4&gt;=IF($L191="",1,$L191),Y$4&lt;=IF($M191="",12,$M191)),$O191,0)</f>
        <v>0</v>
      </c>
      <c r="Z191" s="17" t="n">
        <f aca="false">IF(AND(Z$4&gt;=IF($L191="",1,$L191),Z$4&lt;=IF($M191="",12,$M191)),$O191,0)</f>
        <v>0</v>
      </c>
      <c r="AA191" s="17" t="n">
        <f aca="false">IF(AND(AA$4&gt;=IF($L191="",1,$L191),AA$4&lt;=IF($M191="",12,$M191)),$O191,0)</f>
        <v>0</v>
      </c>
      <c r="AB191" s="18" t="n">
        <f aca="false">SUM(P191:AA191)</f>
        <v>0</v>
      </c>
    </row>
    <row r="192" customFormat="false" ht="15" hidden="false" customHeight="false" outlineLevel="0" collapsed="false">
      <c r="A192" s="25"/>
      <c r="B192" s="25"/>
      <c r="C192" s="43" t="s">
        <v>439</v>
      </c>
      <c r="D192" s="44"/>
      <c r="E192" s="45"/>
      <c r="F192" s="40"/>
      <c r="G192" s="46"/>
      <c r="H192" s="32"/>
      <c r="I192" s="26"/>
      <c r="J192" s="32"/>
      <c r="K192" s="27"/>
      <c r="L192" s="26"/>
      <c r="M192" s="26"/>
      <c r="N192" s="47"/>
      <c r="O192" s="18" t="n">
        <f aca="false">IF($N192="N",0,IF($A192="",0,(IF($J192&lt;&gt;"",$J192,IF($I192="BUDGET",IF($H192="",0,$H192),IF($G192="",0,$G192))))*(1+IF($K192="",0,$K192))))</f>
        <v>0</v>
      </c>
      <c r="P192" s="17" t="n">
        <f aca="false">IF(AND(P$4&gt;=IF($L192="",1,$L192),P$4&lt;=IF($M192="",12,$M192)),$O192,0)</f>
        <v>0</v>
      </c>
      <c r="Q192" s="17" t="n">
        <f aca="false">IF(AND(Q$4&gt;=IF($L192="",1,$L192),Q$4&lt;=IF($M192="",12,$M192)),$O192,0)</f>
        <v>0</v>
      </c>
      <c r="R192" s="17" t="n">
        <f aca="false">IF(AND(R$4&gt;=IF($L192="",1,$L192),R$4&lt;=IF($M192="",12,$M192)),$O192,0)</f>
        <v>0</v>
      </c>
      <c r="S192" s="17" t="n">
        <f aca="false">IF(AND(S$4&gt;=IF($L192="",1,$L192),S$4&lt;=IF($M192="",12,$M192)),$O192,0)</f>
        <v>0</v>
      </c>
      <c r="T192" s="17" t="n">
        <f aca="false">IF(AND(T$4&gt;=IF($L192="",1,$L192),T$4&lt;=IF($M192="",12,$M192)),$O192,0)</f>
        <v>0</v>
      </c>
      <c r="U192" s="17" t="n">
        <f aca="false">IF(AND(U$4&gt;=IF($L192="",1,$L192),U$4&lt;=IF($M192="",12,$M192)),$O192,0)</f>
        <v>0</v>
      </c>
      <c r="V192" s="17" t="n">
        <f aca="false">IF(AND(V$4&gt;=IF($L192="",1,$L192),V$4&lt;=IF($M192="",12,$M192)),$O192,0)</f>
        <v>0</v>
      </c>
      <c r="W192" s="17" t="n">
        <f aca="false">IF(AND(W$4&gt;=IF($L192="",1,$L192),W$4&lt;=IF($M192="",12,$M192)),$O192,0)</f>
        <v>0</v>
      </c>
      <c r="X192" s="17" t="n">
        <f aca="false">IF(AND(X$4&gt;=IF($L192="",1,$L192),X$4&lt;=IF($M192="",12,$M192)),$O192,0)</f>
        <v>0</v>
      </c>
      <c r="Y192" s="17" t="n">
        <f aca="false">IF(AND(Y$4&gt;=IF($L192="",1,$L192),Y$4&lt;=IF($M192="",12,$M192)),$O192,0)</f>
        <v>0</v>
      </c>
      <c r="Z192" s="17" t="n">
        <f aca="false">IF(AND(Z$4&gt;=IF($L192="",1,$L192),Z$4&lt;=IF($M192="",12,$M192)),$O192,0)</f>
        <v>0</v>
      </c>
      <c r="AA192" s="17" t="n">
        <f aca="false">IF(AND(AA$4&gt;=IF($L192="",1,$L192),AA$4&lt;=IF($M192="",12,$M192)),$O192,0)</f>
        <v>0</v>
      </c>
      <c r="AB192" s="18" t="n">
        <f aca="false">SUM(P192:AA192)</f>
        <v>0</v>
      </c>
    </row>
    <row r="193" customFormat="false" ht="15" hidden="false" customHeight="false" outlineLevel="0" collapsed="false">
      <c r="A193" s="25"/>
      <c r="B193" s="25"/>
      <c r="C193" s="43" t="s">
        <v>439</v>
      </c>
      <c r="D193" s="44"/>
      <c r="E193" s="45"/>
      <c r="F193" s="40"/>
      <c r="G193" s="46"/>
      <c r="H193" s="32"/>
      <c r="I193" s="26"/>
      <c r="J193" s="32"/>
      <c r="K193" s="27"/>
      <c r="L193" s="26"/>
      <c r="M193" s="26"/>
      <c r="N193" s="47"/>
      <c r="O193" s="18" t="n">
        <f aca="false">IF($N193="N",0,IF($A193="",0,(IF($J193&lt;&gt;"",$J193,IF($I193="BUDGET",IF($H193="",0,$H193),IF($G193="",0,$G193))))*(1+IF($K193="",0,$K193))))</f>
        <v>0</v>
      </c>
      <c r="P193" s="17" t="n">
        <f aca="false">IF(AND(P$4&gt;=IF($L193="",1,$L193),P$4&lt;=IF($M193="",12,$M193)),$O193,0)</f>
        <v>0</v>
      </c>
      <c r="Q193" s="17" t="n">
        <f aca="false">IF(AND(Q$4&gt;=IF($L193="",1,$L193),Q$4&lt;=IF($M193="",12,$M193)),$O193,0)</f>
        <v>0</v>
      </c>
      <c r="R193" s="17" t="n">
        <f aca="false">IF(AND(R$4&gt;=IF($L193="",1,$L193),R$4&lt;=IF($M193="",12,$M193)),$O193,0)</f>
        <v>0</v>
      </c>
      <c r="S193" s="17" t="n">
        <f aca="false">IF(AND(S$4&gt;=IF($L193="",1,$L193),S$4&lt;=IF($M193="",12,$M193)),$O193,0)</f>
        <v>0</v>
      </c>
      <c r="T193" s="17" t="n">
        <f aca="false">IF(AND(T$4&gt;=IF($L193="",1,$L193),T$4&lt;=IF($M193="",12,$M193)),$O193,0)</f>
        <v>0</v>
      </c>
      <c r="U193" s="17" t="n">
        <f aca="false">IF(AND(U$4&gt;=IF($L193="",1,$L193),U$4&lt;=IF($M193="",12,$M193)),$O193,0)</f>
        <v>0</v>
      </c>
      <c r="V193" s="17" t="n">
        <f aca="false">IF(AND(V$4&gt;=IF($L193="",1,$L193),V$4&lt;=IF($M193="",12,$M193)),$O193,0)</f>
        <v>0</v>
      </c>
      <c r="W193" s="17" t="n">
        <f aca="false">IF(AND(W$4&gt;=IF($L193="",1,$L193),W$4&lt;=IF($M193="",12,$M193)),$O193,0)</f>
        <v>0</v>
      </c>
      <c r="X193" s="17" t="n">
        <f aca="false">IF(AND(X$4&gt;=IF($L193="",1,$L193),X$4&lt;=IF($M193="",12,$M193)),$O193,0)</f>
        <v>0</v>
      </c>
      <c r="Y193" s="17" t="n">
        <f aca="false">IF(AND(Y$4&gt;=IF($L193="",1,$L193),Y$4&lt;=IF($M193="",12,$M193)),$O193,0)</f>
        <v>0</v>
      </c>
      <c r="Z193" s="17" t="n">
        <f aca="false">IF(AND(Z$4&gt;=IF($L193="",1,$L193),Z$4&lt;=IF($M193="",12,$M193)),$O193,0)</f>
        <v>0</v>
      </c>
      <c r="AA193" s="17" t="n">
        <f aca="false">IF(AND(AA$4&gt;=IF($L193="",1,$L193),AA$4&lt;=IF($M193="",12,$M193)),$O193,0)</f>
        <v>0</v>
      </c>
      <c r="AB193" s="18" t="n">
        <f aca="false">SUM(P193:AA193)</f>
        <v>0</v>
      </c>
    </row>
    <row r="194" customFormat="false" ht="15" hidden="false" customHeight="false" outlineLevel="0" collapsed="false">
      <c r="A194" s="25"/>
      <c r="B194" s="25"/>
      <c r="C194" s="43" t="s">
        <v>439</v>
      </c>
      <c r="D194" s="44"/>
      <c r="E194" s="45"/>
      <c r="F194" s="40"/>
      <c r="G194" s="46"/>
      <c r="H194" s="32"/>
      <c r="I194" s="26"/>
      <c r="J194" s="32"/>
      <c r="K194" s="27"/>
      <c r="L194" s="26"/>
      <c r="M194" s="26"/>
      <c r="N194" s="47"/>
      <c r="O194" s="18" t="n">
        <f aca="false">IF($N194="N",0,IF($A194="",0,(IF($J194&lt;&gt;"",$J194,IF($I194="BUDGET",IF($H194="",0,$H194),IF($G194="",0,$G194))))*(1+IF($K194="",0,$K194))))</f>
        <v>0</v>
      </c>
      <c r="P194" s="17" t="n">
        <f aca="false">IF(AND(P$4&gt;=IF($L194="",1,$L194),P$4&lt;=IF($M194="",12,$M194)),$O194,0)</f>
        <v>0</v>
      </c>
      <c r="Q194" s="17" t="n">
        <f aca="false">IF(AND(Q$4&gt;=IF($L194="",1,$L194),Q$4&lt;=IF($M194="",12,$M194)),$O194,0)</f>
        <v>0</v>
      </c>
      <c r="R194" s="17" t="n">
        <f aca="false">IF(AND(R$4&gt;=IF($L194="",1,$L194),R$4&lt;=IF($M194="",12,$M194)),$O194,0)</f>
        <v>0</v>
      </c>
      <c r="S194" s="17" t="n">
        <f aca="false">IF(AND(S$4&gt;=IF($L194="",1,$L194),S$4&lt;=IF($M194="",12,$M194)),$O194,0)</f>
        <v>0</v>
      </c>
      <c r="T194" s="17" t="n">
        <f aca="false">IF(AND(T$4&gt;=IF($L194="",1,$L194),T$4&lt;=IF($M194="",12,$M194)),$O194,0)</f>
        <v>0</v>
      </c>
      <c r="U194" s="17" t="n">
        <f aca="false">IF(AND(U$4&gt;=IF($L194="",1,$L194),U$4&lt;=IF($M194="",12,$M194)),$O194,0)</f>
        <v>0</v>
      </c>
      <c r="V194" s="17" t="n">
        <f aca="false">IF(AND(V$4&gt;=IF($L194="",1,$L194),V$4&lt;=IF($M194="",12,$M194)),$O194,0)</f>
        <v>0</v>
      </c>
      <c r="W194" s="17" t="n">
        <f aca="false">IF(AND(W$4&gt;=IF($L194="",1,$L194),W$4&lt;=IF($M194="",12,$M194)),$O194,0)</f>
        <v>0</v>
      </c>
      <c r="X194" s="17" t="n">
        <f aca="false">IF(AND(X$4&gt;=IF($L194="",1,$L194),X$4&lt;=IF($M194="",12,$M194)),$O194,0)</f>
        <v>0</v>
      </c>
      <c r="Y194" s="17" t="n">
        <f aca="false">IF(AND(Y$4&gt;=IF($L194="",1,$L194),Y$4&lt;=IF($M194="",12,$M194)),$O194,0)</f>
        <v>0</v>
      </c>
      <c r="Z194" s="17" t="n">
        <f aca="false">IF(AND(Z$4&gt;=IF($L194="",1,$L194),Z$4&lt;=IF($M194="",12,$M194)),$O194,0)</f>
        <v>0</v>
      </c>
      <c r="AA194" s="17" t="n">
        <f aca="false">IF(AND(AA$4&gt;=IF($L194="",1,$L194),AA$4&lt;=IF($M194="",12,$M194)),$O194,0)</f>
        <v>0</v>
      </c>
      <c r="AB194" s="18" t="n">
        <f aca="false">SUM(P194:AA194)</f>
        <v>0</v>
      </c>
    </row>
    <row r="195" customFormat="false" ht="15" hidden="false" customHeight="false" outlineLevel="0" collapsed="false">
      <c r="A195" s="25"/>
      <c r="B195" s="25"/>
      <c r="C195" s="43" t="s">
        <v>439</v>
      </c>
      <c r="D195" s="44"/>
      <c r="E195" s="45"/>
      <c r="F195" s="40"/>
      <c r="G195" s="46"/>
      <c r="H195" s="32"/>
      <c r="I195" s="26"/>
      <c r="J195" s="32"/>
      <c r="K195" s="27"/>
      <c r="L195" s="26"/>
      <c r="M195" s="26"/>
      <c r="N195" s="47"/>
      <c r="O195" s="18" t="n">
        <f aca="false">IF($N195="N",0,IF($A195="",0,(IF($J195&lt;&gt;"",$J195,IF($I195="BUDGET",IF($H195="",0,$H195),IF($G195="",0,$G195))))*(1+IF($K195="",0,$K195))))</f>
        <v>0</v>
      </c>
      <c r="P195" s="17" t="n">
        <f aca="false">IF(AND(P$4&gt;=IF($L195="",1,$L195),P$4&lt;=IF($M195="",12,$M195)),$O195,0)</f>
        <v>0</v>
      </c>
      <c r="Q195" s="17" t="n">
        <f aca="false">IF(AND(Q$4&gt;=IF($L195="",1,$L195),Q$4&lt;=IF($M195="",12,$M195)),$O195,0)</f>
        <v>0</v>
      </c>
      <c r="R195" s="17" t="n">
        <f aca="false">IF(AND(R$4&gt;=IF($L195="",1,$L195),R$4&lt;=IF($M195="",12,$M195)),$O195,0)</f>
        <v>0</v>
      </c>
      <c r="S195" s="17" t="n">
        <f aca="false">IF(AND(S$4&gt;=IF($L195="",1,$L195),S$4&lt;=IF($M195="",12,$M195)),$O195,0)</f>
        <v>0</v>
      </c>
      <c r="T195" s="17" t="n">
        <f aca="false">IF(AND(T$4&gt;=IF($L195="",1,$L195),T$4&lt;=IF($M195="",12,$M195)),$O195,0)</f>
        <v>0</v>
      </c>
      <c r="U195" s="17" t="n">
        <f aca="false">IF(AND(U$4&gt;=IF($L195="",1,$L195),U$4&lt;=IF($M195="",12,$M195)),$O195,0)</f>
        <v>0</v>
      </c>
      <c r="V195" s="17" t="n">
        <f aca="false">IF(AND(V$4&gt;=IF($L195="",1,$L195),V$4&lt;=IF($M195="",12,$M195)),$O195,0)</f>
        <v>0</v>
      </c>
      <c r="W195" s="17" t="n">
        <f aca="false">IF(AND(W$4&gt;=IF($L195="",1,$L195),W$4&lt;=IF($M195="",12,$M195)),$O195,0)</f>
        <v>0</v>
      </c>
      <c r="X195" s="17" t="n">
        <f aca="false">IF(AND(X$4&gt;=IF($L195="",1,$L195),X$4&lt;=IF($M195="",12,$M195)),$O195,0)</f>
        <v>0</v>
      </c>
      <c r="Y195" s="17" t="n">
        <f aca="false">IF(AND(Y$4&gt;=IF($L195="",1,$L195),Y$4&lt;=IF($M195="",12,$M195)),$O195,0)</f>
        <v>0</v>
      </c>
      <c r="Z195" s="17" t="n">
        <f aca="false">IF(AND(Z$4&gt;=IF($L195="",1,$L195),Z$4&lt;=IF($M195="",12,$M195)),$O195,0)</f>
        <v>0</v>
      </c>
      <c r="AA195" s="17" t="n">
        <f aca="false">IF(AND(AA$4&gt;=IF($L195="",1,$L195),AA$4&lt;=IF($M195="",12,$M195)),$O195,0)</f>
        <v>0</v>
      </c>
      <c r="AB195" s="18" t="n">
        <f aca="false">SUM(P195:AA195)</f>
        <v>0</v>
      </c>
    </row>
    <row r="196" customFormat="false" ht="15" hidden="false" customHeight="false" outlineLevel="0" collapsed="false">
      <c r="A196" s="25"/>
      <c r="B196" s="25"/>
      <c r="C196" s="43" t="s">
        <v>439</v>
      </c>
      <c r="D196" s="44"/>
      <c r="E196" s="45"/>
      <c r="F196" s="40"/>
      <c r="G196" s="46"/>
      <c r="H196" s="32"/>
      <c r="I196" s="26"/>
      <c r="J196" s="32"/>
      <c r="K196" s="27"/>
      <c r="L196" s="26"/>
      <c r="M196" s="26"/>
      <c r="N196" s="47"/>
      <c r="O196" s="18" t="n">
        <f aca="false">IF($N196="N",0,IF($A196="",0,(IF($J196&lt;&gt;"",$J196,IF($I196="BUDGET",IF($H196="",0,$H196),IF($G196="",0,$G196))))*(1+IF($K196="",0,$K196))))</f>
        <v>0</v>
      </c>
      <c r="P196" s="17" t="n">
        <f aca="false">IF(AND(P$4&gt;=IF($L196="",1,$L196),P$4&lt;=IF($M196="",12,$M196)),$O196,0)</f>
        <v>0</v>
      </c>
      <c r="Q196" s="17" t="n">
        <f aca="false">IF(AND(Q$4&gt;=IF($L196="",1,$L196),Q$4&lt;=IF($M196="",12,$M196)),$O196,0)</f>
        <v>0</v>
      </c>
      <c r="R196" s="17" t="n">
        <f aca="false">IF(AND(R$4&gt;=IF($L196="",1,$L196),R$4&lt;=IF($M196="",12,$M196)),$O196,0)</f>
        <v>0</v>
      </c>
      <c r="S196" s="17" t="n">
        <f aca="false">IF(AND(S$4&gt;=IF($L196="",1,$L196),S$4&lt;=IF($M196="",12,$M196)),$O196,0)</f>
        <v>0</v>
      </c>
      <c r="T196" s="17" t="n">
        <f aca="false">IF(AND(T$4&gt;=IF($L196="",1,$L196),T$4&lt;=IF($M196="",12,$M196)),$O196,0)</f>
        <v>0</v>
      </c>
      <c r="U196" s="17" t="n">
        <f aca="false">IF(AND(U$4&gt;=IF($L196="",1,$L196),U$4&lt;=IF($M196="",12,$M196)),$O196,0)</f>
        <v>0</v>
      </c>
      <c r="V196" s="17" t="n">
        <f aca="false">IF(AND(V$4&gt;=IF($L196="",1,$L196),V$4&lt;=IF($M196="",12,$M196)),$O196,0)</f>
        <v>0</v>
      </c>
      <c r="W196" s="17" t="n">
        <f aca="false">IF(AND(W$4&gt;=IF($L196="",1,$L196),W$4&lt;=IF($M196="",12,$M196)),$O196,0)</f>
        <v>0</v>
      </c>
      <c r="X196" s="17" t="n">
        <f aca="false">IF(AND(X$4&gt;=IF($L196="",1,$L196),X$4&lt;=IF($M196="",12,$M196)),$O196,0)</f>
        <v>0</v>
      </c>
      <c r="Y196" s="17" t="n">
        <f aca="false">IF(AND(Y$4&gt;=IF($L196="",1,$L196),Y$4&lt;=IF($M196="",12,$M196)),$O196,0)</f>
        <v>0</v>
      </c>
      <c r="Z196" s="17" t="n">
        <f aca="false">IF(AND(Z$4&gt;=IF($L196="",1,$L196),Z$4&lt;=IF($M196="",12,$M196)),$O196,0)</f>
        <v>0</v>
      </c>
      <c r="AA196" s="17" t="n">
        <f aca="false">IF(AND(AA$4&gt;=IF($L196="",1,$L196),AA$4&lt;=IF($M196="",12,$M196)),$O196,0)</f>
        <v>0</v>
      </c>
      <c r="AB196" s="18" t="n">
        <f aca="false">SUM(P196:AA196)</f>
        <v>0</v>
      </c>
    </row>
    <row r="197" customFormat="false" ht="15" hidden="false" customHeight="false" outlineLevel="0" collapsed="false">
      <c r="A197" s="25"/>
      <c r="B197" s="25"/>
      <c r="C197" s="43" t="s">
        <v>439</v>
      </c>
      <c r="D197" s="44"/>
      <c r="E197" s="45"/>
      <c r="F197" s="40"/>
      <c r="G197" s="46"/>
      <c r="H197" s="32"/>
      <c r="I197" s="26"/>
      <c r="J197" s="32"/>
      <c r="K197" s="27"/>
      <c r="L197" s="26"/>
      <c r="M197" s="26"/>
      <c r="N197" s="47"/>
      <c r="O197" s="18" t="n">
        <f aca="false">IF($N197="N",0,IF($A197="",0,(IF($J197&lt;&gt;"",$J197,IF($I197="BUDGET",IF($H197="",0,$H197),IF($G197="",0,$G197))))*(1+IF($K197="",0,$K197))))</f>
        <v>0</v>
      </c>
      <c r="P197" s="17" t="n">
        <f aca="false">IF(AND(P$4&gt;=IF($L197="",1,$L197),P$4&lt;=IF($M197="",12,$M197)),$O197,0)</f>
        <v>0</v>
      </c>
      <c r="Q197" s="17" t="n">
        <f aca="false">IF(AND(Q$4&gt;=IF($L197="",1,$L197),Q$4&lt;=IF($M197="",12,$M197)),$O197,0)</f>
        <v>0</v>
      </c>
      <c r="R197" s="17" t="n">
        <f aca="false">IF(AND(R$4&gt;=IF($L197="",1,$L197),R$4&lt;=IF($M197="",12,$M197)),$O197,0)</f>
        <v>0</v>
      </c>
      <c r="S197" s="17" t="n">
        <f aca="false">IF(AND(S$4&gt;=IF($L197="",1,$L197),S$4&lt;=IF($M197="",12,$M197)),$O197,0)</f>
        <v>0</v>
      </c>
      <c r="T197" s="17" t="n">
        <f aca="false">IF(AND(T$4&gt;=IF($L197="",1,$L197),T$4&lt;=IF($M197="",12,$M197)),$O197,0)</f>
        <v>0</v>
      </c>
      <c r="U197" s="17" t="n">
        <f aca="false">IF(AND(U$4&gt;=IF($L197="",1,$L197),U$4&lt;=IF($M197="",12,$M197)),$O197,0)</f>
        <v>0</v>
      </c>
      <c r="V197" s="17" t="n">
        <f aca="false">IF(AND(V$4&gt;=IF($L197="",1,$L197),V$4&lt;=IF($M197="",12,$M197)),$O197,0)</f>
        <v>0</v>
      </c>
      <c r="W197" s="17" t="n">
        <f aca="false">IF(AND(W$4&gt;=IF($L197="",1,$L197),W$4&lt;=IF($M197="",12,$M197)),$O197,0)</f>
        <v>0</v>
      </c>
      <c r="X197" s="17" t="n">
        <f aca="false">IF(AND(X$4&gt;=IF($L197="",1,$L197),X$4&lt;=IF($M197="",12,$M197)),$O197,0)</f>
        <v>0</v>
      </c>
      <c r="Y197" s="17" t="n">
        <f aca="false">IF(AND(Y$4&gt;=IF($L197="",1,$L197),Y$4&lt;=IF($M197="",12,$M197)),$O197,0)</f>
        <v>0</v>
      </c>
      <c r="Z197" s="17" t="n">
        <f aca="false">IF(AND(Z$4&gt;=IF($L197="",1,$L197),Z$4&lt;=IF($M197="",12,$M197)),$O197,0)</f>
        <v>0</v>
      </c>
      <c r="AA197" s="17" t="n">
        <f aca="false">IF(AND(AA$4&gt;=IF($L197="",1,$L197),AA$4&lt;=IF($M197="",12,$M197)),$O197,0)</f>
        <v>0</v>
      </c>
      <c r="AB197" s="18" t="n">
        <f aca="false">SUM(P197:AA197)</f>
        <v>0</v>
      </c>
    </row>
    <row r="198" customFormat="false" ht="15" hidden="false" customHeight="false" outlineLevel="0" collapsed="false">
      <c r="A198" s="29" t="s">
        <v>440</v>
      </c>
      <c r="O198" s="30" t="n">
        <f aca="false">SUM(O6:O197)</f>
        <v>196428.061871988</v>
      </c>
      <c r="P198" s="30" t="n">
        <f aca="false">SUM(P6:P197)</f>
        <v>196428.061871988</v>
      </c>
      <c r="Q198" s="30" t="n">
        <f aca="false">SUM(Q6:Q197)</f>
        <v>196428.061871988</v>
      </c>
      <c r="R198" s="30" t="n">
        <f aca="false">SUM(R6:R197)</f>
        <v>196428.061871988</v>
      </c>
      <c r="S198" s="30" t="n">
        <f aca="false">SUM(S6:S197)</f>
        <v>196428.061871988</v>
      </c>
      <c r="T198" s="30" t="n">
        <f aca="false">SUM(T6:T197)</f>
        <v>196428.061871988</v>
      </c>
      <c r="U198" s="30" t="n">
        <f aca="false">SUM(U6:U197)</f>
        <v>196428.061871988</v>
      </c>
      <c r="V198" s="30" t="n">
        <f aca="false">SUM(V6:V197)</f>
        <v>196428.061871988</v>
      </c>
      <c r="W198" s="30" t="n">
        <f aca="false">SUM(W6:W197)</f>
        <v>196428.061871988</v>
      </c>
      <c r="X198" s="30" t="n">
        <f aca="false">SUM(X6:X197)</f>
        <v>196428.061871988</v>
      </c>
      <c r="Y198" s="30" t="n">
        <f aca="false">SUM(Y6:Y197)</f>
        <v>196428.061871988</v>
      </c>
      <c r="Z198" s="30" t="n">
        <f aca="false">SUM(Z6:Z197)</f>
        <v>196428.061871988</v>
      </c>
      <c r="AA198" s="30" t="n">
        <f aca="false">SUM(AA6:AA197)</f>
        <v>196428.061871988</v>
      </c>
      <c r="AB198" s="30" t="n">
        <f aca="false">SUM(AB6:AB197)</f>
        <v>2357136.74246386</v>
      </c>
    </row>
    <row r="200" customFormat="false" ht="15" hidden="false" customHeight="false" outlineLevel="0" collapsed="false">
      <c r="A200" s="35" t="s">
        <v>441</v>
      </c>
    </row>
    <row r="202" customFormat="false" ht="15" hidden="false" customHeight="false" outlineLevel="0" collapsed="false">
      <c r="A202" s="15" t="s">
        <v>442</v>
      </c>
    </row>
    <row r="203" customFormat="false" ht="15" hidden="false" customHeight="false" outlineLevel="0" collapsed="false">
      <c r="A203" s="13" t="s">
        <v>159</v>
      </c>
      <c r="B203" s="13" t="s">
        <v>31</v>
      </c>
      <c r="C203" s="13" t="s">
        <v>32</v>
      </c>
      <c r="D203" s="13" t="s">
        <v>33</v>
      </c>
      <c r="E203" s="13" t="s">
        <v>34</v>
      </c>
      <c r="F203" s="13" t="s">
        <v>35</v>
      </c>
      <c r="G203" s="13" t="s">
        <v>36</v>
      </c>
      <c r="H203" s="13" t="s">
        <v>37</v>
      </c>
      <c r="I203" s="13" t="s">
        <v>38</v>
      </c>
      <c r="J203" s="13" t="s">
        <v>39</v>
      </c>
      <c r="K203" s="13" t="s">
        <v>40</v>
      </c>
      <c r="L203" s="13" t="s">
        <v>41</v>
      </c>
      <c r="M203" s="13" t="s">
        <v>42</v>
      </c>
      <c r="N203" s="13" t="s">
        <v>443</v>
      </c>
    </row>
    <row r="204" customFormat="false" ht="15" hidden="false" customHeight="false" outlineLevel="0" collapsed="false">
      <c r="A204" s="16" t="s">
        <v>61</v>
      </c>
      <c r="B204" s="17" t="n">
        <f aca="false">SUMIFS(P$6:P$197,$B$6:$B$197,$A204)</f>
        <v>24880.6181746667</v>
      </c>
      <c r="C204" s="17" t="n">
        <f aca="false">SUMIFS(Q$6:Q$197,$B$6:$B$197,$A204)</f>
        <v>24880.6181746667</v>
      </c>
      <c r="D204" s="17" t="n">
        <f aca="false">SUMIFS(R$6:R$197,$B$6:$B$197,$A204)</f>
        <v>24880.6181746667</v>
      </c>
      <c r="E204" s="17" t="n">
        <f aca="false">SUMIFS(S$6:S$197,$B$6:$B$197,$A204)</f>
        <v>24880.6181746667</v>
      </c>
      <c r="F204" s="17" t="n">
        <f aca="false">SUMIFS(T$6:T$197,$B$6:$B$197,$A204)</f>
        <v>24880.6181746667</v>
      </c>
      <c r="G204" s="17" t="n">
        <f aca="false">SUMIFS(U$6:U$197,$B$6:$B$197,$A204)</f>
        <v>24880.6181746667</v>
      </c>
      <c r="H204" s="17" t="n">
        <f aca="false">SUMIFS(V$6:V$197,$B$6:$B$197,$A204)</f>
        <v>24880.6181746667</v>
      </c>
      <c r="I204" s="17" t="n">
        <f aca="false">SUMIFS(W$6:W$197,$B$6:$B$197,$A204)</f>
        <v>24880.6181746667</v>
      </c>
      <c r="J204" s="17" t="n">
        <f aca="false">SUMIFS(X$6:X$197,$B$6:$B$197,$A204)</f>
        <v>24880.6181746667</v>
      </c>
      <c r="K204" s="17" t="n">
        <f aca="false">SUMIFS(Y$6:Y$197,$B$6:$B$197,$A204)</f>
        <v>24880.6181746667</v>
      </c>
      <c r="L204" s="17" t="n">
        <f aca="false">SUMIFS(Z$6:Z$197,$B$6:$B$197,$A204)</f>
        <v>24880.6181746667</v>
      </c>
      <c r="M204" s="17" t="n">
        <f aca="false">SUMIFS(AA$6:AA$197,$B$6:$B$197,$A204)</f>
        <v>24880.6181746667</v>
      </c>
      <c r="N204" s="18" t="n">
        <f aca="false">SUM(B204:M204)</f>
        <v>298567.418096</v>
      </c>
    </row>
    <row r="205" customFormat="false" ht="15" hidden="false" customHeight="false" outlineLevel="0" collapsed="false">
      <c r="A205" s="16" t="s">
        <v>62</v>
      </c>
      <c r="B205" s="17" t="n">
        <f aca="false">SUMIFS(P$6:P$197,$B$6:$B$197,$A205)</f>
        <v>101984.670738288</v>
      </c>
      <c r="C205" s="17" t="n">
        <f aca="false">SUMIFS(Q$6:Q$197,$B$6:$B$197,$A205)</f>
        <v>101984.670738288</v>
      </c>
      <c r="D205" s="17" t="n">
        <f aca="false">SUMIFS(R$6:R$197,$B$6:$B$197,$A205)</f>
        <v>101984.670738288</v>
      </c>
      <c r="E205" s="17" t="n">
        <f aca="false">SUMIFS(S$6:S$197,$B$6:$B$197,$A205)</f>
        <v>101984.670738288</v>
      </c>
      <c r="F205" s="17" t="n">
        <f aca="false">SUMIFS(T$6:T$197,$B$6:$B$197,$A205)</f>
        <v>101984.670738288</v>
      </c>
      <c r="G205" s="17" t="n">
        <f aca="false">SUMIFS(U$6:U$197,$B$6:$B$197,$A205)</f>
        <v>101984.670738288</v>
      </c>
      <c r="H205" s="17" t="n">
        <f aca="false">SUMIFS(V$6:V$197,$B$6:$B$197,$A205)</f>
        <v>101984.670738288</v>
      </c>
      <c r="I205" s="17" t="n">
        <f aca="false">SUMIFS(W$6:W$197,$B$6:$B$197,$A205)</f>
        <v>101984.670738288</v>
      </c>
      <c r="J205" s="17" t="n">
        <f aca="false">SUMIFS(X$6:X$197,$B$6:$B$197,$A205)</f>
        <v>101984.670738288</v>
      </c>
      <c r="K205" s="17" t="n">
        <f aca="false">SUMIFS(Y$6:Y$197,$B$6:$B$197,$A205)</f>
        <v>101984.670738288</v>
      </c>
      <c r="L205" s="17" t="n">
        <f aca="false">SUMIFS(Z$6:Z$197,$B$6:$B$197,$A205)</f>
        <v>101984.670738288</v>
      </c>
      <c r="M205" s="17" t="n">
        <f aca="false">SUMIFS(AA$6:AA$197,$B$6:$B$197,$A205)</f>
        <v>101984.670738288</v>
      </c>
      <c r="N205" s="18" t="n">
        <f aca="false">SUM(B205:M205)</f>
        <v>1223816.04885945</v>
      </c>
    </row>
    <row r="206" customFormat="false" ht="15" hidden="false" customHeight="false" outlineLevel="0" collapsed="false">
      <c r="A206" s="16" t="s">
        <v>63</v>
      </c>
      <c r="B206" s="17" t="n">
        <f aca="false">SUMIFS(P$6:P$197,$B$6:$B$197,$A206)</f>
        <v>16555.1433333333</v>
      </c>
      <c r="C206" s="17" t="n">
        <f aca="false">SUMIFS(Q$6:Q$197,$B$6:$B$197,$A206)</f>
        <v>16555.1433333333</v>
      </c>
      <c r="D206" s="17" t="n">
        <f aca="false">SUMIFS(R$6:R$197,$B$6:$B$197,$A206)</f>
        <v>16555.1433333333</v>
      </c>
      <c r="E206" s="17" t="n">
        <f aca="false">SUMIFS(S$6:S$197,$B$6:$B$197,$A206)</f>
        <v>16555.1433333333</v>
      </c>
      <c r="F206" s="17" t="n">
        <f aca="false">SUMIFS(T$6:T$197,$B$6:$B$197,$A206)</f>
        <v>16555.1433333333</v>
      </c>
      <c r="G206" s="17" t="n">
        <f aca="false">SUMIFS(U$6:U$197,$B$6:$B$197,$A206)</f>
        <v>16555.1433333333</v>
      </c>
      <c r="H206" s="17" t="n">
        <f aca="false">SUMIFS(V$6:V$197,$B$6:$B$197,$A206)</f>
        <v>16555.1433333333</v>
      </c>
      <c r="I206" s="17" t="n">
        <f aca="false">SUMIFS(W$6:W$197,$B$6:$B$197,$A206)</f>
        <v>16555.1433333333</v>
      </c>
      <c r="J206" s="17" t="n">
        <f aca="false">SUMIFS(X$6:X$197,$B$6:$B$197,$A206)</f>
        <v>16555.1433333333</v>
      </c>
      <c r="K206" s="17" t="n">
        <f aca="false">SUMIFS(Y$6:Y$197,$B$6:$B$197,$A206)</f>
        <v>16555.1433333333</v>
      </c>
      <c r="L206" s="17" t="n">
        <f aca="false">SUMIFS(Z$6:Z$197,$B$6:$B$197,$A206)</f>
        <v>16555.1433333333</v>
      </c>
      <c r="M206" s="17" t="n">
        <f aca="false">SUMIFS(AA$6:AA$197,$B$6:$B$197,$A206)</f>
        <v>16555.1433333333</v>
      </c>
      <c r="N206" s="18" t="n">
        <f aca="false">SUM(B206:M206)</f>
        <v>198661.72</v>
      </c>
    </row>
    <row r="207" customFormat="false" ht="15" hidden="false" customHeight="false" outlineLevel="0" collapsed="false">
      <c r="A207" s="16" t="s">
        <v>64</v>
      </c>
      <c r="B207" s="17" t="n">
        <f aca="false">SUMIFS(P$6:P$197,$B$6:$B$197,$A207)</f>
        <v>2086.66593920551</v>
      </c>
      <c r="C207" s="17" t="n">
        <f aca="false">SUMIFS(Q$6:Q$197,$B$6:$B$197,$A207)</f>
        <v>2086.66593920551</v>
      </c>
      <c r="D207" s="17" t="n">
        <f aca="false">SUMIFS(R$6:R$197,$B$6:$B$197,$A207)</f>
        <v>2086.66593920551</v>
      </c>
      <c r="E207" s="17" t="n">
        <f aca="false">SUMIFS(S$6:S$197,$B$6:$B$197,$A207)</f>
        <v>2086.66593920551</v>
      </c>
      <c r="F207" s="17" t="n">
        <f aca="false">SUMIFS(T$6:T$197,$B$6:$B$197,$A207)</f>
        <v>2086.66593920551</v>
      </c>
      <c r="G207" s="17" t="n">
        <f aca="false">SUMIFS(U$6:U$197,$B$6:$B$197,$A207)</f>
        <v>2086.66593920551</v>
      </c>
      <c r="H207" s="17" t="n">
        <f aca="false">SUMIFS(V$6:V$197,$B$6:$B$197,$A207)</f>
        <v>2086.66593920551</v>
      </c>
      <c r="I207" s="17" t="n">
        <f aca="false">SUMIFS(W$6:W$197,$B$6:$B$197,$A207)</f>
        <v>2086.66593920551</v>
      </c>
      <c r="J207" s="17" t="n">
        <f aca="false">SUMIFS(X$6:X$197,$B$6:$B$197,$A207)</f>
        <v>2086.66593920551</v>
      </c>
      <c r="K207" s="17" t="n">
        <f aca="false">SUMIFS(Y$6:Y$197,$B$6:$B$197,$A207)</f>
        <v>2086.66593920551</v>
      </c>
      <c r="L207" s="17" t="n">
        <f aca="false">SUMIFS(Z$6:Z$197,$B$6:$B$197,$A207)</f>
        <v>2086.66593920551</v>
      </c>
      <c r="M207" s="17" t="n">
        <f aca="false">SUMIFS(AA$6:AA$197,$B$6:$B$197,$A207)</f>
        <v>2086.66593920551</v>
      </c>
      <c r="N207" s="18" t="n">
        <f aca="false">SUM(B207:M207)</f>
        <v>25039.9912704661</v>
      </c>
    </row>
    <row r="208" customFormat="false" ht="15" hidden="false" customHeight="false" outlineLevel="0" collapsed="false">
      <c r="A208" s="16" t="s">
        <v>65</v>
      </c>
      <c r="B208" s="17" t="n">
        <f aca="false">SUMIFS(P$6:P$197,$B$6:$B$197,$A208)</f>
        <v>372.312122</v>
      </c>
      <c r="C208" s="17" t="n">
        <f aca="false">SUMIFS(Q$6:Q$197,$B$6:$B$197,$A208)</f>
        <v>372.312122</v>
      </c>
      <c r="D208" s="17" t="n">
        <f aca="false">SUMIFS(R$6:R$197,$B$6:$B$197,$A208)</f>
        <v>372.312122</v>
      </c>
      <c r="E208" s="17" t="n">
        <f aca="false">SUMIFS(S$6:S$197,$B$6:$B$197,$A208)</f>
        <v>372.312122</v>
      </c>
      <c r="F208" s="17" t="n">
        <f aca="false">SUMIFS(T$6:T$197,$B$6:$B$197,$A208)</f>
        <v>372.312122</v>
      </c>
      <c r="G208" s="17" t="n">
        <f aca="false">SUMIFS(U$6:U$197,$B$6:$B$197,$A208)</f>
        <v>372.312122</v>
      </c>
      <c r="H208" s="17" t="n">
        <f aca="false">SUMIFS(V$6:V$197,$B$6:$B$197,$A208)</f>
        <v>372.312122</v>
      </c>
      <c r="I208" s="17" t="n">
        <f aca="false">SUMIFS(W$6:W$197,$B$6:$B$197,$A208)</f>
        <v>372.312122</v>
      </c>
      <c r="J208" s="17" t="n">
        <f aca="false">SUMIFS(X$6:X$197,$B$6:$B$197,$A208)</f>
        <v>372.312122</v>
      </c>
      <c r="K208" s="17" t="n">
        <f aca="false">SUMIFS(Y$6:Y$197,$B$6:$B$197,$A208)</f>
        <v>372.312122</v>
      </c>
      <c r="L208" s="17" t="n">
        <f aca="false">SUMIFS(Z$6:Z$197,$B$6:$B$197,$A208)</f>
        <v>372.312122</v>
      </c>
      <c r="M208" s="17" t="n">
        <f aca="false">SUMIFS(AA$6:AA$197,$B$6:$B$197,$A208)</f>
        <v>372.312122</v>
      </c>
      <c r="N208" s="18" t="n">
        <f aca="false">SUM(B208:M208)</f>
        <v>4467.745464</v>
      </c>
    </row>
    <row r="209" customFormat="false" ht="15" hidden="false" customHeight="false" outlineLevel="0" collapsed="false">
      <c r="A209" s="16" t="s">
        <v>66</v>
      </c>
      <c r="B209" s="17" t="n">
        <f aca="false">SUMIFS(P$6:P$197,$B$6:$B$197,$A209)</f>
        <v>1043</v>
      </c>
      <c r="C209" s="17" t="n">
        <f aca="false">SUMIFS(Q$6:Q$197,$B$6:$B$197,$A209)</f>
        <v>1043</v>
      </c>
      <c r="D209" s="17" t="n">
        <f aca="false">SUMIFS(R$6:R$197,$B$6:$B$197,$A209)</f>
        <v>1043</v>
      </c>
      <c r="E209" s="17" t="n">
        <f aca="false">SUMIFS(S$6:S$197,$B$6:$B$197,$A209)</f>
        <v>1043</v>
      </c>
      <c r="F209" s="17" t="n">
        <f aca="false">SUMIFS(T$6:T$197,$B$6:$B$197,$A209)</f>
        <v>1043</v>
      </c>
      <c r="G209" s="17" t="n">
        <f aca="false">SUMIFS(U$6:U$197,$B$6:$B$197,$A209)</f>
        <v>1043</v>
      </c>
      <c r="H209" s="17" t="n">
        <f aca="false">SUMIFS(V$6:V$197,$B$6:$B$197,$A209)</f>
        <v>1043</v>
      </c>
      <c r="I209" s="17" t="n">
        <f aca="false">SUMIFS(W$6:W$197,$B$6:$B$197,$A209)</f>
        <v>1043</v>
      </c>
      <c r="J209" s="17" t="n">
        <f aca="false">SUMIFS(X$6:X$197,$B$6:$B$197,$A209)</f>
        <v>1043</v>
      </c>
      <c r="K209" s="17" t="n">
        <f aca="false">SUMIFS(Y$6:Y$197,$B$6:$B$197,$A209)</f>
        <v>1043</v>
      </c>
      <c r="L209" s="17" t="n">
        <f aca="false">SUMIFS(Z$6:Z$197,$B$6:$B$197,$A209)</f>
        <v>1043</v>
      </c>
      <c r="M209" s="17" t="n">
        <f aca="false">SUMIFS(AA$6:AA$197,$B$6:$B$197,$A209)</f>
        <v>1043</v>
      </c>
      <c r="N209" s="18" t="n">
        <f aca="false">SUM(B209:M209)</f>
        <v>12516</v>
      </c>
    </row>
    <row r="210" customFormat="false" ht="15" hidden="false" customHeight="false" outlineLevel="0" collapsed="false">
      <c r="A210" s="16" t="s">
        <v>67</v>
      </c>
      <c r="B210" s="17" t="n">
        <f aca="false">SUMIFS(P$6:P$197,$B$6:$B$197,$A210)</f>
        <v>5812.71804902382</v>
      </c>
      <c r="C210" s="17" t="n">
        <f aca="false">SUMIFS(Q$6:Q$197,$B$6:$B$197,$A210)</f>
        <v>5812.71804902382</v>
      </c>
      <c r="D210" s="17" t="n">
        <f aca="false">SUMIFS(R$6:R$197,$B$6:$B$197,$A210)</f>
        <v>5812.71804902382</v>
      </c>
      <c r="E210" s="17" t="n">
        <f aca="false">SUMIFS(S$6:S$197,$B$6:$B$197,$A210)</f>
        <v>5812.71804902382</v>
      </c>
      <c r="F210" s="17" t="n">
        <f aca="false">SUMIFS(T$6:T$197,$B$6:$B$197,$A210)</f>
        <v>5812.71804902382</v>
      </c>
      <c r="G210" s="17" t="n">
        <f aca="false">SUMIFS(U$6:U$197,$B$6:$B$197,$A210)</f>
        <v>5812.71804902382</v>
      </c>
      <c r="H210" s="17" t="n">
        <f aca="false">SUMIFS(V$6:V$197,$B$6:$B$197,$A210)</f>
        <v>5812.71804902382</v>
      </c>
      <c r="I210" s="17" t="n">
        <f aca="false">SUMIFS(W$6:W$197,$B$6:$B$197,$A210)</f>
        <v>5812.71804902382</v>
      </c>
      <c r="J210" s="17" t="n">
        <f aca="false">SUMIFS(X$6:X$197,$B$6:$B$197,$A210)</f>
        <v>5812.71804902382</v>
      </c>
      <c r="K210" s="17" t="n">
        <f aca="false">SUMIFS(Y$6:Y$197,$B$6:$B$197,$A210)</f>
        <v>5812.71804902382</v>
      </c>
      <c r="L210" s="17" t="n">
        <f aca="false">SUMIFS(Z$6:Z$197,$B$6:$B$197,$A210)</f>
        <v>5812.71804902382</v>
      </c>
      <c r="M210" s="17" t="n">
        <f aca="false">SUMIFS(AA$6:AA$197,$B$6:$B$197,$A210)</f>
        <v>5812.71804902382</v>
      </c>
      <c r="N210" s="18" t="n">
        <f aca="false">SUM(B210:M210)</f>
        <v>69752.6165882858</v>
      </c>
    </row>
    <row r="211" customFormat="false" ht="15" hidden="false" customHeight="false" outlineLevel="0" collapsed="false">
      <c r="A211" s="16" t="s">
        <v>68</v>
      </c>
      <c r="B211" s="17" t="n">
        <f aca="false">SUMIFS(P$6:P$197,$B$6:$B$197,$A211)</f>
        <v>16759.5612324485</v>
      </c>
      <c r="C211" s="17" t="n">
        <f aca="false">SUMIFS(Q$6:Q$197,$B$6:$B$197,$A211)</f>
        <v>16759.5612324485</v>
      </c>
      <c r="D211" s="17" t="n">
        <f aca="false">SUMIFS(R$6:R$197,$B$6:$B$197,$A211)</f>
        <v>16759.5612324485</v>
      </c>
      <c r="E211" s="17" t="n">
        <f aca="false">SUMIFS(S$6:S$197,$B$6:$B$197,$A211)</f>
        <v>16759.5612324485</v>
      </c>
      <c r="F211" s="17" t="n">
        <f aca="false">SUMIFS(T$6:T$197,$B$6:$B$197,$A211)</f>
        <v>16759.5612324485</v>
      </c>
      <c r="G211" s="17" t="n">
        <f aca="false">SUMIFS(U$6:U$197,$B$6:$B$197,$A211)</f>
        <v>16759.5612324485</v>
      </c>
      <c r="H211" s="17" t="n">
        <f aca="false">SUMIFS(V$6:V$197,$B$6:$B$197,$A211)</f>
        <v>16759.5612324485</v>
      </c>
      <c r="I211" s="17" t="n">
        <f aca="false">SUMIFS(W$6:W$197,$B$6:$B$197,$A211)</f>
        <v>16759.5612324485</v>
      </c>
      <c r="J211" s="17" t="n">
        <f aca="false">SUMIFS(X$6:X$197,$B$6:$B$197,$A211)</f>
        <v>16759.5612324485</v>
      </c>
      <c r="K211" s="17" t="n">
        <f aca="false">SUMIFS(Y$6:Y$197,$B$6:$B$197,$A211)</f>
        <v>16759.5612324485</v>
      </c>
      <c r="L211" s="17" t="n">
        <f aca="false">SUMIFS(Z$6:Z$197,$B$6:$B$197,$A211)</f>
        <v>16759.5612324485</v>
      </c>
      <c r="M211" s="17" t="n">
        <f aca="false">SUMIFS(AA$6:AA$197,$B$6:$B$197,$A211)</f>
        <v>16759.5612324485</v>
      </c>
      <c r="N211" s="18" t="n">
        <f aca="false">SUM(B211:M211)</f>
        <v>201114.734789382</v>
      </c>
    </row>
    <row r="212" customFormat="false" ht="15" hidden="false" customHeight="false" outlineLevel="0" collapsed="false">
      <c r="A212" s="16" t="s">
        <v>69</v>
      </c>
      <c r="B212" s="17" t="n">
        <f aca="false">SUMIFS(P$6:P$197,$B$6:$B$197,$A212)</f>
        <v>884.346914</v>
      </c>
      <c r="C212" s="17" t="n">
        <f aca="false">SUMIFS(Q$6:Q$197,$B$6:$B$197,$A212)</f>
        <v>884.346914</v>
      </c>
      <c r="D212" s="17" t="n">
        <f aca="false">SUMIFS(R$6:R$197,$B$6:$B$197,$A212)</f>
        <v>884.346914</v>
      </c>
      <c r="E212" s="17" t="n">
        <f aca="false">SUMIFS(S$6:S$197,$B$6:$B$197,$A212)</f>
        <v>884.346914</v>
      </c>
      <c r="F212" s="17" t="n">
        <f aca="false">SUMIFS(T$6:T$197,$B$6:$B$197,$A212)</f>
        <v>884.346914</v>
      </c>
      <c r="G212" s="17" t="n">
        <f aca="false">SUMIFS(U$6:U$197,$B$6:$B$197,$A212)</f>
        <v>884.346914</v>
      </c>
      <c r="H212" s="17" t="n">
        <f aca="false">SUMIFS(V$6:V$197,$B$6:$B$197,$A212)</f>
        <v>884.346914</v>
      </c>
      <c r="I212" s="17" t="n">
        <f aca="false">SUMIFS(W$6:W$197,$B$6:$B$197,$A212)</f>
        <v>884.346914</v>
      </c>
      <c r="J212" s="17" t="n">
        <f aca="false">SUMIFS(X$6:X$197,$B$6:$B$197,$A212)</f>
        <v>884.346914</v>
      </c>
      <c r="K212" s="17" t="n">
        <f aca="false">SUMIFS(Y$6:Y$197,$B$6:$B$197,$A212)</f>
        <v>884.346914</v>
      </c>
      <c r="L212" s="17" t="n">
        <f aca="false">SUMIFS(Z$6:Z$197,$B$6:$B$197,$A212)</f>
        <v>884.346914</v>
      </c>
      <c r="M212" s="17" t="n">
        <f aca="false">SUMIFS(AA$6:AA$197,$B$6:$B$197,$A212)</f>
        <v>884.346914</v>
      </c>
      <c r="N212" s="18" t="n">
        <f aca="false">SUM(B212:M212)</f>
        <v>10612.162968</v>
      </c>
    </row>
    <row r="213" customFormat="false" ht="15" hidden="false" customHeight="false" outlineLevel="0" collapsed="false">
      <c r="A213" s="16" t="s">
        <v>70</v>
      </c>
      <c r="B213" s="17" t="n">
        <f aca="false">SUMIFS(P$6:P$197,$B$6:$B$197,$A213)</f>
        <v>0</v>
      </c>
      <c r="C213" s="17" t="n">
        <f aca="false">SUMIFS(Q$6:Q$197,$B$6:$B$197,$A213)</f>
        <v>0</v>
      </c>
      <c r="D213" s="17" t="n">
        <f aca="false">SUMIFS(R$6:R$197,$B$6:$B$197,$A213)</f>
        <v>0</v>
      </c>
      <c r="E213" s="17" t="n">
        <f aca="false">SUMIFS(S$6:S$197,$B$6:$B$197,$A213)</f>
        <v>0</v>
      </c>
      <c r="F213" s="17" t="n">
        <f aca="false">SUMIFS(T$6:T$197,$B$6:$B$197,$A213)</f>
        <v>0</v>
      </c>
      <c r="G213" s="17" t="n">
        <f aca="false">SUMIFS(U$6:U$197,$B$6:$B$197,$A213)</f>
        <v>0</v>
      </c>
      <c r="H213" s="17" t="n">
        <f aca="false">SUMIFS(V$6:V$197,$B$6:$B$197,$A213)</f>
        <v>0</v>
      </c>
      <c r="I213" s="17" t="n">
        <f aca="false">SUMIFS(W$6:W$197,$B$6:$B$197,$A213)</f>
        <v>0</v>
      </c>
      <c r="J213" s="17" t="n">
        <f aca="false">SUMIFS(X$6:X$197,$B$6:$B$197,$A213)</f>
        <v>0</v>
      </c>
      <c r="K213" s="17" t="n">
        <f aca="false">SUMIFS(Y$6:Y$197,$B$6:$B$197,$A213)</f>
        <v>0</v>
      </c>
      <c r="L213" s="17" t="n">
        <f aca="false">SUMIFS(Z$6:Z$197,$B$6:$B$197,$A213)</f>
        <v>0</v>
      </c>
      <c r="M213" s="17" t="n">
        <f aca="false">SUMIFS(AA$6:AA$197,$B$6:$B$197,$A213)</f>
        <v>0</v>
      </c>
      <c r="N213" s="18" t="n">
        <f aca="false">SUM(B213:M213)</f>
        <v>0</v>
      </c>
    </row>
    <row r="214" customFormat="false" ht="15" hidden="false" customHeight="false" outlineLevel="0" collapsed="false">
      <c r="A214" s="16" t="s">
        <v>71</v>
      </c>
      <c r="B214" s="17" t="n">
        <f aca="false">SUMIFS(P$6:P$197,$B$6:$B$197,$A214)</f>
        <v>2754.992</v>
      </c>
      <c r="C214" s="17" t="n">
        <f aca="false">SUMIFS(Q$6:Q$197,$B$6:$B$197,$A214)</f>
        <v>2754.992</v>
      </c>
      <c r="D214" s="17" t="n">
        <f aca="false">SUMIFS(R$6:R$197,$B$6:$B$197,$A214)</f>
        <v>2754.992</v>
      </c>
      <c r="E214" s="17" t="n">
        <f aca="false">SUMIFS(S$6:S$197,$B$6:$B$197,$A214)</f>
        <v>2754.992</v>
      </c>
      <c r="F214" s="17" t="n">
        <f aca="false">SUMIFS(T$6:T$197,$B$6:$B$197,$A214)</f>
        <v>2754.992</v>
      </c>
      <c r="G214" s="17" t="n">
        <f aca="false">SUMIFS(U$6:U$197,$B$6:$B$197,$A214)</f>
        <v>2754.992</v>
      </c>
      <c r="H214" s="17" t="n">
        <f aca="false">SUMIFS(V$6:V$197,$B$6:$B$197,$A214)</f>
        <v>2754.992</v>
      </c>
      <c r="I214" s="17" t="n">
        <f aca="false">SUMIFS(W$6:W$197,$B$6:$B$197,$A214)</f>
        <v>2754.992</v>
      </c>
      <c r="J214" s="17" t="n">
        <f aca="false">SUMIFS(X$6:X$197,$B$6:$B$197,$A214)</f>
        <v>2754.992</v>
      </c>
      <c r="K214" s="17" t="n">
        <f aca="false">SUMIFS(Y$6:Y$197,$B$6:$B$197,$A214)</f>
        <v>2754.992</v>
      </c>
      <c r="L214" s="17" t="n">
        <f aca="false">SUMIFS(Z$6:Z$197,$B$6:$B$197,$A214)</f>
        <v>2754.992</v>
      </c>
      <c r="M214" s="17" t="n">
        <f aca="false">SUMIFS(AA$6:AA$197,$B$6:$B$197,$A214)</f>
        <v>2754.992</v>
      </c>
      <c r="N214" s="18" t="n">
        <f aca="false">SUM(B214:M214)</f>
        <v>33059.904</v>
      </c>
    </row>
    <row r="215" customFormat="false" ht="15" hidden="false" customHeight="false" outlineLevel="0" collapsed="false">
      <c r="A215" s="16" t="s">
        <v>72</v>
      </c>
      <c r="B215" s="17" t="n">
        <f aca="false">SUMIFS(P$6:P$197,$B$6:$B$197,$A215)</f>
        <v>23294.0333690225</v>
      </c>
      <c r="C215" s="17" t="n">
        <f aca="false">SUMIFS(Q$6:Q$197,$B$6:$B$197,$A215)</f>
        <v>23294.0333690225</v>
      </c>
      <c r="D215" s="17" t="n">
        <f aca="false">SUMIFS(R$6:R$197,$B$6:$B$197,$A215)</f>
        <v>23294.0333690225</v>
      </c>
      <c r="E215" s="17" t="n">
        <f aca="false">SUMIFS(S$6:S$197,$B$6:$B$197,$A215)</f>
        <v>23294.0333690225</v>
      </c>
      <c r="F215" s="17" t="n">
        <f aca="false">SUMIFS(T$6:T$197,$B$6:$B$197,$A215)</f>
        <v>23294.0333690225</v>
      </c>
      <c r="G215" s="17" t="n">
        <f aca="false">SUMIFS(U$6:U$197,$B$6:$B$197,$A215)</f>
        <v>23294.0333690225</v>
      </c>
      <c r="H215" s="17" t="n">
        <f aca="false">SUMIFS(V$6:V$197,$B$6:$B$197,$A215)</f>
        <v>23294.0333690225</v>
      </c>
      <c r="I215" s="17" t="n">
        <f aca="false">SUMIFS(W$6:W$197,$B$6:$B$197,$A215)</f>
        <v>23294.0333690225</v>
      </c>
      <c r="J215" s="17" t="n">
        <f aca="false">SUMIFS(X$6:X$197,$B$6:$B$197,$A215)</f>
        <v>23294.0333690225</v>
      </c>
      <c r="K215" s="17" t="n">
        <f aca="false">SUMIFS(Y$6:Y$197,$B$6:$B$197,$A215)</f>
        <v>23294.0333690225</v>
      </c>
      <c r="L215" s="17" t="n">
        <f aca="false">SUMIFS(Z$6:Z$197,$B$6:$B$197,$A215)</f>
        <v>23294.0333690225</v>
      </c>
      <c r="M215" s="17" t="n">
        <f aca="false">SUMIFS(AA$6:AA$197,$B$6:$B$197,$A215)</f>
        <v>23294.0333690225</v>
      </c>
      <c r="N215" s="18" t="n">
        <f aca="false">SUM(B215:M215)</f>
        <v>279528.40042827</v>
      </c>
    </row>
    <row r="216" customFormat="false" ht="15" hidden="false" customHeight="false" outlineLevel="0" collapsed="false">
      <c r="A216" s="29" t="s">
        <v>444</v>
      </c>
      <c r="B216" s="30" t="n">
        <f aca="false">SUM(B204:B215)</f>
        <v>196428.061871988</v>
      </c>
      <c r="C216" s="30" t="n">
        <f aca="false">SUM(C204:C215)</f>
        <v>196428.061871988</v>
      </c>
      <c r="D216" s="30" t="n">
        <f aca="false">SUM(D204:D215)</f>
        <v>196428.061871988</v>
      </c>
      <c r="E216" s="30" t="n">
        <f aca="false">SUM(E204:E215)</f>
        <v>196428.061871988</v>
      </c>
      <c r="F216" s="30" t="n">
        <f aca="false">SUM(F204:F215)</f>
        <v>196428.061871988</v>
      </c>
      <c r="G216" s="30" t="n">
        <f aca="false">SUM(G204:G215)</f>
        <v>196428.061871988</v>
      </c>
      <c r="H216" s="30" t="n">
        <f aca="false">SUM(H204:H215)</f>
        <v>196428.061871988</v>
      </c>
      <c r="I216" s="30" t="n">
        <f aca="false">SUM(I204:I215)</f>
        <v>196428.061871988</v>
      </c>
      <c r="J216" s="30" t="n">
        <f aca="false">SUM(J204:J215)</f>
        <v>196428.061871988</v>
      </c>
      <c r="K216" s="30" t="n">
        <f aca="false">SUM(K204:K215)</f>
        <v>196428.061871988</v>
      </c>
      <c r="L216" s="30" t="n">
        <f aca="false">SUM(L204:L215)</f>
        <v>196428.061871988</v>
      </c>
      <c r="M216" s="30" t="n">
        <f aca="false">SUM(M204:M215)</f>
        <v>196428.061871988</v>
      </c>
      <c r="N216" s="30" t="n">
        <f aca="false">SUM(N204:N215)</f>
        <v>2357136.74246386</v>
      </c>
    </row>
  </sheetData>
  <dataValidations count="3">
    <dataValidation allowBlank="true" errorStyle="stop" operator="between" showDropDown="false" showErrorMessage="false" showInputMessage="false" sqref="N6:N197" type="list">
      <formula1>"Y,N"</formula1>
      <formula2>0</formula2>
    </dataValidation>
    <dataValidation allowBlank="true" errorStyle="stop" operator="between" showDropDown="false" showErrorMessage="false" showInputMessage="false" sqref="I6:I197" type="list">
      <formula1>"XERO,BUDGET"</formula1>
      <formula2>0</formula2>
    </dataValidation>
    <dataValidation allowBlank="true" errorStyle="stop" operator="between" showDropDown="false" showErrorMessage="false" showInputMessage="false" sqref="B6:B197" type="list">
      <formula1>"Sales,Marketing,Software Development,Installation Services,Technical Support,Purchasing &amp; Fulfillment,03 - HR &amp; Business Administration Manager,Facillities,Exec,Product,General Overhead,Unassigned"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X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18" min="7" style="0" width="11"/>
    <col collapsed="false" customWidth="true" hidden="false" outlineLevel="0" max="19" min="19" style="0" width="12"/>
    <col collapsed="false" customWidth="true" hidden="false" outlineLevel="0" max="22" min="20" style="0" width="11"/>
    <col collapsed="false" customWidth="true" hidden="false" outlineLevel="0" max="24" min="24" style="0" width="40"/>
  </cols>
  <sheetData>
    <row r="1" customFormat="false" ht="17.35" hidden="false" customHeight="false" outlineLevel="0" collapsed="false">
      <c r="A1" s="6" t="s">
        <v>445</v>
      </c>
    </row>
    <row r="2" customFormat="false" ht="15" hidden="false" customHeight="false" outlineLevel="0" collapsed="false">
      <c r="A2" s="7" t="s">
        <v>446</v>
      </c>
    </row>
    <row r="4" customFormat="false" ht="15" hidden="false" customHeight="false" outlineLevel="0" collapsed="false">
      <c r="A4" s="13" t="s">
        <v>447</v>
      </c>
      <c r="B4" s="13" t="s">
        <v>448</v>
      </c>
      <c r="C4" s="13" t="s">
        <v>449</v>
      </c>
      <c r="D4" s="13" t="s">
        <v>450</v>
      </c>
      <c r="E4" s="13" t="s">
        <v>451</v>
      </c>
      <c r="F4" s="13" t="s">
        <v>452</v>
      </c>
      <c r="G4" s="13" t="s">
        <v>31</v>
      </c>
      <c r="H4" s="13" t="s">
        <v>32</v>
      </c>
      <c r="I4" s="13" t="s">
        <v>33</v>
      </c>
      <c r="J4" s="13" t="s">
        <v>34</v>
      </c>
      <c r="K4" s="13" t="s">
        <v>35</v>
      </c>
      <c r="L4" s="13" t="s">
        <v>36</v>
      </c>
      <c r="M4" s="13" t="s">
        <v>37</v>
      </c>
      <c r="N4" s="13" t="s">
        <v>453</v>
      </c>
      <c r="O4" s="13" t="s">
        <v>454</v>
      </c>
      <c r="P4" s="13" t="s">
        <v>455</v>
      </c>
      <c r="Q4" s="13" t="s">
        <v>456</v>
      </c>
      <c r="R4" s="13" t="s">
        <v>457</v>
      </c>
      <c r="S4" s="13" t="s">
        <v>458</v>
      </c>
      <c r="T4" s="13" t="s">
        <v>459</v>
      </c>
      <c r="U4" s="13" t="s">
        <v>242</v>
      </c>
      <c r="V4" s="13" t="s">
        <v>460</v>
      </c>
      <c r="W4" s="13" t="s">
        <v>240</v>
      </c>
      <c r="X4" s="13" t="s">
        <v>461</v>
      </c>
    </row>
    <row r="5" customFormat="false" ht="15" hidden="false" customHeight="false" outlineLevel="0" collapsed="false">
      <c r="A5" s="42" t="s">
        <v>273</v>
      </c>
      <c r="B5" s="42" t="s">
        <v>462</v>
      </c>
      <c r="C5" s="42" t="s">
        <v>62</v>
      </c>
      <c r="D5" s="42" t="s">
        <v>62</v>
      </c>
      <c r="E5" s="54"/>
      <c r="F5" s="42" t="s">
        <v>62</v>
      </c>
      <c r="G5" s="40" t="n">
        <v>67965.99</v>
      </c>
      <c r="H5" s="40" t="n">
        <v>74488.85</v>
      </c>
      <c r="I5" s="40" t="n">
        <v>75192.73</v>
      </c>
      <c r="J5" s="40" t="n">
        <v>70130.95</v>
      </c>
      <c r="K5" s="40" t="n">
        <v>74113.69</v>
      </c>
      <c r="L5" s="40" t="n">
        <v>86113.69</v>
      </c>
      <c r="M5" s="40" t="n">
        <v>64763.78</v>
      </c>
      <c r="N5" s="40" t="n">
        <v>46828.46</v>
      </c>
      <c r="O5" s="17" t="n">
        <f aca="false">SUM(G5:N5)</f>
        <v>559598.14</v>
      </c>
      <c r="P5" s="17" t="n">
        <f aca="false">AVERAGE(K5:M5)</f>
        <v>74997.0533333333</v>
      </c>
      <c r="Q5" s="17" t="n">
        <f aca="false">O5/7.6774</f>
        <v>72889.0171151692</v>
      </c>
      <c r="R5" s="55" t="n">
        <f aca="false">IFERROR(AVERAGE(K5:M5)/AVERAGE(H5:J5),"")</f>
        <v>1.02355930301153</v>
      </c>
      <c r="S5" s="56" t="s">
        <v>253</v>
      </c>
      <c r="T5" s="18" t="n">
        <f aca="false">IF($S5="DROPPED",0,IF(OR($S5="ONE-TIME",$S5="PERIODIC"),$Q5,IF($S5="NEW",74997.05,$P5)))</f>
        <v>74997.0533333333</v>
      </c>
      <c r="U5" s="40" t="n">
        <v>95000</v>
      </c>
      <c r="V5" s="17" t="n">
        <f aca="false">IF($U5="","",$T5-$U5)</f>
        <v>-20002.9466666667</v>
      </c>
      <c r="W5" s="40"/>
      <c r="X5" s="7"/>
    </row>
    <row r="6" customFormat="false" ht="15" hidden="false" customHeight="false" outlineLevel="0" collapsed="false">
      <c r="A6" s="42" t="s">
        <v>251</v>
      </c>
      <c r="B6" s="42" t="s">
        <v>463</v>
      </c>
      <c r="C6" s="42" t="s">
        <v>64</v>
      </c>
      <c r="D6" s="42" t="s">
        <v>61</v>
      </c>
      <c r="E6" s="57" t="s">
        <v>464</v>
      </c>
      <c r="F6" s="42" t="s">
        <v>61</v>
      </c>
      <c r="G6" s="40" t="n">
        <v>19402</v>
      </c>
      <c r="H6" s="40" t="n">
        <v>21716</v>
      </c>
      <c r="I6" s="40" t="n">
        <v>19224</v>
      </c>
      <c r="J6" s="40" t="n">
        <v>28657</v>
      </c>
      <c r="K6" s="40" t="n">
        <v>17444</v>
      </c>
      <c r="L6" s="40" t="n">
        <v>19233</v>
      </c>
      <c r="M6" s="40" t="n">
        <v>29499</v>
      </c>
      <c r="N6" s="40" t="n">
        <v>4984</v>
      </c>
      <c r="O6" s="17" t="n">
        <f aca="false">SUM(G6:N6)</f>
        <v>160159</v>
      </c>
      <c r="P6" s="17" t="n">
        <f aca="false">AVERAGE(K6:M6)</f>
        <v>22058.6666666667</v>
      </c>
      <c r="Q6" s="17" t="n">
        <f aca="false">O6/7.6774</f>
        <v>20861.0988094928</v>
      </c>
      <c r="R6" s="55" t="n">
        <f aca="false">IFERROR(AVERAGE(K6:M6)/AVERAGE(H6:J6),"")</f>
        <v>0.95084558242453</v>
      </c>
      <c r="S6" s="56" t="s">
        <v>253</v>
      </c>
      <c r="T6" s="18" t="n">
        <f aca="false">IF($S6="DROPPED",0,IF(OR($S6="ONE-TIME",$S6="PERIODIC"),$Q6,IF($S6="NEW",22058.67,$P6)))</f>
        <v>22058.6666666667</v>
      </c>
      <c r="U6" s="40" t="n">
        <v>16000</v>
      </c>
      <c r="V6" s="17" t="n">
        <f aca="false">IF($U6="","",$T6-$U6)</f>
        <v>6058.66666666667</v>
      </c>
      <c r="W6" s="40"/>
      <c r="X6" s="7"/>
    </row>
    <row r="7" customFormat="false" ht="15" hidden="false" customHeight="false" outlineLevel="0" collapsed="false">
      <c r="A7" s="42" t="s">
        <v>274</v>
      </c>
      <c r="B7" s="42" t="s">
        <v>462</v>
      </c>
      <c r="C7" s="42" t="s">
        <v>62</v>
      </c>
      <c r="D7" s="42" t="s">
        <v>465</v>
      </c>
      <c r="E7" s="54"/>
      <c r="F7" s="42" t="s">
        <v>62</v>
      </c>
      <c r="G7" s="40" t="n">
        <v>22579.82</v>
      </c>
      <c r="H7" s="40" t="n">
        <v>17596.64</v>
      </c>
      <c r="I7" s="40" t="n">
        <v>22611.98</v>
      </c>
      <c r="J7" s="40" t="n">
        <v>25109.34</v>
      </c>
      <c r="K7" s="40" t="n">
        <v>15059.42</v>
      </c>
      <c r="L7" s="40" t="n">
        <v>12522.4</v>
      </c>
      <c r="M7" s="40" t="n">
        <v>20101.33</v>
      </c>
      <c r="N7" s="40" t="n">
        <v>20290.12</v>
      </c>
      <c r="O7" s="17" t="n">
        <f aca="false">SUM(G7:N7)</f>
        <v>155871.05</v>
      </c>
      <c r="P7" s="17" t="n">
        <f aca="false">AVERAGE(K7:M7)</f>
        <v>15894.3833333333</v>
      </c>
      <c r="Q7" s="17" t="n">
        <f aca="false">O7/7.6774</f>
        <v>20302.5829056712</v>
      </c>
      <c r="R7" s="55" t="n">
        <f aca="false">IFERROR(AVERAGE(K7:M7)/AVERAGE(H7:J7),"")</f>
        <v>0.730015909866138</v>
      </c>
      <c r="S7" s="56" t="s">
        <v>253</v>
      </c>
      <c r="T7" s="18" t="n">
        <f aca="false">IF($S7="DROPPED",0,IF(OR($S7="ONE-TIME",$S7="PERIODIC"),$Q7,IF($S7="NEW",15894.38,$P7)))</f>
        <v>15894.3833333333</v>
      </c>
      <c r="U7" s="40"/>
      <c r="V7" s="17" t="str">
        <f aca="false">IF($U7="","",$T7-$U7)</f>
        <v/>
      </c>
      <c r="W7" s="40"/>
      <c r="X7" s="7"/>
    </row>
    <row r="8" customFormat="false" ht="15" hidden="false" customHeight="false" outlineLevel="0" collapsed="false">
      <c r="A8" s="42" t="s">
        <v>400</v>
      </c>
      <c r="B8" s="42" t="s">
        <v>466</v>
      </c>
      <c r="C8" s="42" t="s">
        <v>465</v>
      </c>
      <c r="D8" s="42" t="s">
        <v>465</v>
      </c>
      <c r="E8" s="54"/>
      <c r="F8" s="42" t="s">
        <v>72</v>
      </c>
      <c r="G8" s="40" t="n">
        <v>16432.23</v>
      </c>
      <c r="H8" s="40" t="n">
        <v>17664.08</v>
      </c>
      <c r="I8" s="40" t="n">
        <v>13911.56</v>
      </c>
      <c r="J8" s="40" t="n">
        <v>17073.49</v>
      </c>
      <c r="K8" s="40" t="n">
        <v>13058.4</v>
      </c>
      <c r="L8" s="40" t="n">
        <v>16519.01</v>
      </c>
      <c r="M8" s="40" t="n">
        <v>17882.59</v>
      </c>
      <c r="N8" s="40" t="n">
        <v>0</v>
      </c>
      <c r="O8" s="17" t="n">
        <f aca="false">SUM(G8:N8)</f>
        <v>112541.36</v>
      </c>
      <c r="P8" s="17" t="n">
        <f aca="false">AVERAGE(K8:M8)</f>
        <v>15820</v>
      </c>
      <c r="Q8" s="17" t="n">
        <f aca="false">O8/7.6774</f>
        <v>14658.7855263501</v>
      </c>
      <c r="R8" s="55" t="n">
        <f aca="false">IFERROR(AVERAGE(K8:M8)/AVERAGE(H8:J8),"")</f>
        <v>0.975557014071988</v>
      </c>
      <c r="S8" s="56" t="s">
        <v>253</v>
      </c>
      <c r="T8" s="18" t="n">
        <f aca="false">IF($S8="DROPPED",0,IF(OR($S8="ONE-TIME",$S8="PERIODIC"),$Q8,IF($S8="NEW",15820,$P8)))</f>
        <v>15820</v>
      </c>
      <c r="U8" s="40"/>
      <c r="V8" s="17" t="str">
        <f aca="false">IF($U8="","",$T8-$U8)</f>
        <v/>
      </c>
      <c r="W8" s="40"/>
      <c r="X8" s="7"/>
    </row>
    <row r="9" customFormat="false" ht="15" hidden="false" customHeight="false" outlineLevel="0" collapsed="false">
      <c r="A9" s="42" t="s">
        <v>299</v>
      </c>
      <c r="B9" s="42" t="s">
        <v>467</v>
      </c>
      <c r="C9" s="42" t="s">
        <v>63</v>
      </c>
      <c r="D9" s="42" t="s">
        <v>63</v>
      </c>
      <c r="E9" s="54"/>
      <c r="F9" s="42" t="s">
        <v>63</v>
      </c>
      <c r="G9" s="40" t="n">
        <v>13481.26</v>
      </c>
      <c r="H9" s="40" t="n">
        <v>13427.92</v>
      </c>
      <c r="I9" s="40" t="n">
        <v>12321.45</v>
      </c>
      <c r="J9" s="40" t="n">
        <v>13193.38</v>
      </c>
      <c r="K9" s="40" t="n">
        <v>13121.08</v>
      </c>
      <c r="L9" s="40" t="n">
        <v>12836.22</v>
      </c>
      <c r="M9" s="40" t="n">
        <v>12707.15</v>
      </c>
      <c r="N9" s="40" t="n">
        <v>12756.81</v>
      </c>
      <c r="O9" s="17" t="n">
        <f aca="false">SUM(G9:N9)</f>
        <v>103845.27</v>
      </c>
      <c r="P9" s="17" t="n">
        <f aca="false">AVERAGE(K9:M9)</f>
        <v>12888.15</v>
      </c>
      <c r="Q9" s="17" t="n">
        <f aca="false">O9/7.6774</f>
        <v>13526.0986792404</v>
      </c>
      <c r="R9" s="55" t="n">
        <f aca="false">IFERROR(AVERAGE(K9:M9)/AVERAGE(H9:J9),"")</f>
        <v>0.992853612033049</v>
      </c>
      <c r="S9" s="56" t="s">
        <v>253</v>
      </c>
      <c r="T9" s="18" t="n">
        <f aca="false">IF($S9="DROPPED",0,IF(OR($S9="ONE-TIME",$S9="PERIODIC"),$Q9,IF($S9="NEW",12888.15,$P9)))</f>
        <v>12888.15</v>
      </c>
      <c r="U9" s="40" t="n">
        <v>13000</v>
      </c>
      <c r="V9" s="17" t="n">
        <f aca="false">IF($U9="","",$T9-$U9)</f>
        <v>-111.85</v>
      </c>
      <c r="W9" s="40"/>
      <c r="X9" s="7"/>
    </row>
    <row r="10" customFormat="false" ht="15" hidden="false" customHeight="false" outlineLevel="0" collapsed="false">
      <c r="A10" s="42" t="s">
        <v>368</v>
      </c>
      <c r="B10" s="42" t="s">
        <v>468</v>
      </c>
      <c r="C10" s="42" t="s">
        <v>465</v>
      </c>
      <c r="D10" s="42" t="s">
        <v>68</v>
      </c>
      <c r="E10" s="54"/>
      <c r="F10" s="42" t="s">
        <v>68</v>
      </c>
      <c r="G10" s="40" t="n">
        <v>10260</v>
      </c>
      <c r="H10" s="40" t="n">
        <v>10260</v>
      </c>
      <c r="I10" s="40" t="n">
        <v>10260</v>
      </c>
      <c r="J10" s="40" t="n">
        <v>10260</v>
      </c>
      <c r="K10" s="40" t="n">
        <v>10260</v>
      </c>
      <c r="L10" s="40" t="n">
        <v>10260</v>
      </c>
      <c r="M10" s="40" t="n">
        <v>10260</v>
      </c>
      <c r="N10" s="40" t="n">
        <v>10260</v>
      </c>
      <c r="O10" s="17" t="n">
        <f aca="false">SUM(G10:N10)</f>
        <v>82080</v>
      </c>
      <c r="P10" s="17" t="n">
        <f aca="false">AVERAGE(K10:M10)</f>
        <v>10260</v>
      </c>
      <c r="Q10" s="17" t="n">
        <f aca="false">O10/7.6774</f>
        <v>10691.1193893766</v>
      </c>
      <c r="R10" s="55" t="n">
        <f aca="false">IFERROR(AVERAGE(K10:M10)/AVERAGE(H10:J10),"")</f>
        <v>1</v>
      </c>
      <c r="S10" s="56" t="s">
        <v>253</v>
      </c>
      <c r="T10" s="18" t="n">
        <f aca="false">IF($S10="DROPPED",0,IF(OR($S10="ONE-TIME",$S10="PERIODIC"),$Q10,IF($S10="NEW",10260,$P10)))</f>
        <v>10260</v>
      </c>
      <c r="U10" s="40" t="n">
        <v>2400</v>
      </c>
      <c r="V10" s="17" t="n">
        <f aca="false">IF($U10="","",$T10-$U10)</f>
        <v>7860</v>
      </c>
      <c r="W10" s="40"/>
      <c r="X10" s="7"/>
    </row>
    <row r="11" customFormat="false" ht="15" hidden="false" customHeight="false" outlineLevel="0" collapsed="false">
      <c r="A11" s="42" t="s">
        <v>275</v>
      </c>
      <c r="B11" s="42" t="s">
        <v>469</v>
      </c>
      <c r="C11" s="42" t="s">
        <v>465</v>
      </c>
      <c r="D11" s="42" t="s">
        <v>62</v>
      </c>
      <c r="E11" s="54"/>
      <c r="F11" s="42" t="s">
        <v>62</v>
      </c>
      <c r="G11" s="40" t="n">
        <v>3769.23</v>
      </c>
      <c r="H11" s="40" t="n">
        <v>6538.46</v>
      </c>
      <c r="I11" s="40" t="n">
        <v>9307.69</v>
      </c>
      <c r="J11" s="40" t="n">
        <v>3769.23</v>
      </c>
      <c r="K11" s="40" t="n">
        <v>7000</v>
      </c>
      <c r="L11" s="40" t="n">
        <v>7000</v>
      </c>
      <c r="M11" s="40" t="n">
        <v>7000</v>
      </c>
      <c r="N11" s="40" t="n">
        <v>7000</v>
      </c>
      <c r="O11" s="17" t="n">
        <f aca="false">SUM(G11:N11)</f>
        <v>51384.61</v>
      </c>
      <c r="P11" s="17" t="n">
        <f aca="false">AVERAGE(K11:M11)</f>
        <v>7000</v>
      </c>
      <c r="Q11" s="17" t="n">
        <f aca="false">O11/7.6774</f>
        <v>6692.97027639566</v>
      </c>
      <c r="R11" s="55" t="n">
        <f aca="false">IFERROR(AVERAGE(K11:M11)/AVERAGE(H11:J11),"")</f>
        <v>1.07058848719729</v>
      </c>
      <c r="S11" s="56" t="s">
        <v>253</v>
      </c>
      <c r="T11" s="18" t="n">
        <f aca="false">IF($S11="DROPPED",0,IF(OR($S11="ONE-TIME",$S11="PERIODIC"),$Q11,IF($S11="NEW",7000,$P11)))</f>
        <v>7000</v>
      </c>
      <c r="U11" s="40" t="n">
        <v>1000</v>
      </c>
      <c r="V11" s="17" t="n">
        <f aca="false">IF($U11="","",$T11-$U11)</f>
        <v>6000</v>
      </c>
      <c r="W11" s="40"/>
      <c r="X11" s="7"/>
    </row>
    <row r="12" customFormat="false" ht="15" hidden="false" customHeight="false" outlineLevel="0" collapsed="false">
      <c r="A12" s="42" t="s">
        <v>401</v>
      </c>
      <c r="B12" s="42" t="s">
        <v>469</v>
      </c>
      <c r="C12" s="42" t="s">
        <v>465</v>
      </c>
      <c r="D12" s="42" t="s">
        <v>465</v>
      </c>
      <c r="E12" s="54"/>
      <c r="F12" s="42" t="s">
        <v>72</v>
      </c>
      <c r="G12" s="40" t="n">
        <v>4800</v>
      </c>
      <c r="H12" s="40" t="n">
        <v>4800</v>
      </c>
      <c r="I12" s="40" t="n">
        <v>4800</v>
      </c>
      <c r="J12" s="40" t="n">
        <v>4800</v>
      </c>
      <c r="K12" s="40" t="n">
        <v>4800</v>
      </c>
      <c r="L12" s="40" t="n">
        <v>4800</v>
      </c>
      <c r="M12" s="40" t="n">
        <v>4800</v>
      </c>
      <c r="N12" s="40" t="n">
        <v>4800</v>
      </c>
      <c r="O12" s="17" t="n">
        <f aca="false">SUM(G12:N12)</f>
        <v>38400</v>
      </c>
      <c r="P12" s="17" t="n">
        <f aca="false">AVERAGE(K12:M12)</f>
        <v>4800</v>
      </c>
      <c r="Q12" s="17" t="n">
        <f aca="false">O12/7.6774</f>
        <v>5001.6932815797</v>
      </c>
      <c r="R12" s="55" t="n">
        <f aca="false">IFERROR(AVERAGE(K12:M12)/AVERAGE(H12:J12),"")</f>
        <v>1</v>
      </c>
      <c r="S12" s="56" t="s">
        <v>253</v>
      </c>
      <c r="T12" s="18" t="n">
        <f aca="false">IF($S12="DROPPED",0,IF(OR($S12="ONE-TIME",$S12="PERIODIC"),$Q12,IF($S12="NEW",4800,$P12)))</f>
        <v>4800</v>
      </c>
      <c r="U12" s="40"/>
      <c r="V12" s="17" t="str">
        <f aca="false">IF($U12="","",$T12-$U12)</f>
        <v/>
      </c>
      <c r="W12" s="40"/>
      <c r="X12" s="7"/>
    </row>
    <row r="13" customFormat="false" ht="15" hidden="false" customHeight="false" outlineLevel="0" collapsed="false">
      <c r="A13" s="42" t="s">
        <v>319</v>
      </c>
      <c r="B13" s="42" t="s">
        <v>470</v>
      </c>
      <c r="C13" s="42" t="s">
        <v>465</v>
      </c>
      <c r="D13" s="42" t="s">
        <v>71</v>
      </c>
      <c r="E13" s="54"/>
      <c r="F13" s="42" t="s">
        <v>71</v>
      </c>
      <c r="G13" s="40" t="n">
        <v>3393</v>
      </c>
      <c r="H13" s="40" t="n">
        <v>3815.92</v>
      </c>
      <c r="I13" s="40" t="n">
        <v>3794</v>
      </c>
      <c r="J13" s="40" t="n">
        <v>4098</v>
      </c>
      <c r="K13" s="40" t="n">
        <v>3794</v>
      </c>
      <c r="L13" s="40" t="n">
        <v>3794</v>
      </c>
      <c r="M13" s="40" t="n">
        <v>3794</v>
      </c>
      <c r="N13" s="40" t="n">
        <v>3794</v>
      </c>
      <c r="O13" s="17" t="n">
        <f aca="false">SUM(G13:N13)</f>
        <v>30276.92</v>
      </c>
      <c r="P13" s="17" t="n">
        <f aca="false">AVERAGE(K13:M13)</f>
        <v>3794</v>
      </c>
      <c r="Q13" s="17" t="n">
        <f aca="false">O13/7.6774</f>
        <v>3943.64237893037</v>
      </c>
      <c r="R13" s="55" t="n">
        <f aca="false">IFERROR(AVERAGE(K13:M13)/AVERAGE(H13:J13),"")</f>
        <v>0.972162433634668</v>
      </c>
      <c r="S13" s="56" t="s">
        <v>253</v>
      </c>
      <c r="T13" s="18" t="n">
        <f aca="false">IF($S13="DROPPED",0,IF(OR($S13="ONE-TIME",$S13="PERIODIC"),$Q13,IF($S13="NEW",3794,$P13)))</f>
        <v>3794</v>
      </c>
      <c r="U13" s="40" t="n">
        <v>3394.42</v>
      </c>
      <c r="V13" s="17" t="n">
        <f aca="false">IF($U13="","",$T13-$U13)</f>
        <v>399.58</v>
      </c>
      <c r="W13" s="40"/>
      <c r="X13" s="7" t="s">
        <v>471</v>
      </c>
    </row>
    <row r="14" customFormat="false" ht="15" hidden="false" customHeight="false" outlineLevel="0" collapsed="false">
      <c r="A14" s="42" t="s">
        <v>256</v>
      </c>
      <c r="B14" s="42" t="s">
        <v>472</v>
      </c>
      <c r="C14" s="42" t="s">
        <v>61</v>
      </c>
      <c r="D14" s="42" t="s">
        <v>62</v>
      </c>
      <c r="E14" s="57" t="s">
        <v>464</v>
      </c>
      <c r="F14" s="42" t="s">
        <v>62</v>
      </c>
      <c r="G14" s="40" t="n">
        <v>3753.93</v>
      </c>
      <c r="H14" s="40" t="n">
        <v>3940.03</v>
      </c>
      <c r="I14" s="40" t="n">
        <v>3940.03</v>
      </c>
      <c r="J14" s="40" t="n">
        <v>3940.03</v>
      </c>
      <c r="K14" s="40" t="n">
        <v>3940.03</v>
      </c>
      <c r="L14" s="40" t="n">
        <v>3940.03</v>
      </c>
      <c r="M14" s="40" t="n">
        <v>3940.03</v>
      </c>
      <c r="N14" s="40" t="n">
        <v>0</v>
      </c>
      <c r="O14" s="17" t="n">
        <f aca="false">SUM(G14:N14)</f>
        <v>27394.11</v>
      </c>
      <c r="P14" s="17" t="n">
        <f aca="false">AVERAGE(K14:M14)</f>
        <v>3940.03</v>
      </c>
      <c r="Q14" s="17" t="n">
        <f aca="false">O14/7.6774</f>
        <v>3568.14937348582</v>
      </c>
      <c r="R14" s="55" t="n">
        <f aca="false">IFERROR(AVERAGE(K14:M14)/AVERAGE(H14:J14),"")</f>
        <v>1</v>
      </c>
      <c r="S14" s="56" t="s">
        <v>253</v>
      </c>
      <c r="T14" s="18" t="n">
        <f aca="false">IF($S14="DROPPED",0,IF(OR($S14="ONE-TIME",$S14="PERIODIC"),$Q14,IF($S14="NEW",3940.03,$P14)))</f>
        <v>3940.03</v>
      </c>
      <c r="U14" s="40" t="n">
        <v>3723.93</v>
      </c>
      <c r="V14" s="17" t="n">
        <f aca="false">IF($U14="","",$T14-$U14)</f>
        <v>216.1</v>
      </c>
      <c r="W14" s="40" t="n">
        <v>666.76</v>
      </c>
      <c r="X14" s="7" t="s">
        <v>473</v>
      </c>
    </row>
    <row r="15" customFormat="false" ht="15" hidden="false" customHeight="false" outlineLevel="0" collapsed="false">
      <c r="A15" s="42" t="s">
        <v>257</v>
      </c>
      <c r="B15" s="42" t="s">
        <v>474</v>
      </c>
      <c r="C15" s="42" t="s">
        <v>61</v>
      </c>
      <c r="D15" s="42" t="s">
        <v>61</v>
      </c>
      <c r="E15" s="54"/>
      <c r="F15" s="42" t="s">
        <v>61</v>
      </c>
      <c r="G15" s="40" t="n">
        <v>3308</v>
      </c>
      <c r="H15" s="40" t="n">
        <v>3308</v>
      </c>
      <c r="I15" s="40" t="n">
        <v>3308</v>
      </c>
      <c r="J15" s="40" t="n">
        <v>3308</v>
      </c>
      <c r="K15" s="40" t="n">
        <v>3308</v>
      </c>
      <c r="L15" s="40" t="n">
        <v>3308</v>
      </c>
      <c r="M15" s="40" t="n">
        <v>3308.03</v>
      </c>
      <c r="N15" s="40" t="n">
        <v>3308</v>
      </c>
      <c r="O15" s="17" t="n">
        <f aca="false">SUM(G15:N15)</f>
        <v>26464.03</v>
      </c>
      <c r="P15" s="17" t="n">
        <f aca="false">AVERAGE(K15:M15)</f>
        <v>3308.01</v>
      </c>
      <c r="Q15" s="17" t="n">
        <f aca="false">O15/7.6774</f>
        <v>3447.00419412822</v>
      </c>
      <c r="R15" s="55" t="n">
        <f aca="false">IFERROR(AVERAGE(K15:M15)/AVERAGE(H15:J15),"")</f>
        <v>1.00000302297461</v>
      </c>
      <c r="S15" s="56" t="s">
        <v>253</v>
      </c>
      <c r="T15" s="18" t="n">
        <f aca="false">IF($S15="DROPPED",0,IF(OR($S15="ONE-TIME",$S15="PERIODIC"),$Q15,IF($S15="NEW",3308.01,$P15)))</f>
        <v>3308.01</v>
      </c>
      <c r="U15" s="40" t="n">
        <v>3309</v>
      </c>
      <c r="V15" s="17" t="n">
        <f aca="false">IF($U15="","",$T15-$U15)</f>
        <v>-0.989999999999782</v>
      </c>
      <c r="W15" s="40" t="n">
        <v>2299.77</v>
      </c>
      <c r="X15" s="7"/>
    </row>
    <row r="16" customFormat="false" ht="15" hidden="false" customHeight="false" outlineLevel="0" collapsed="false">
      <c r="A16" s="42" t="s">
        <v>362</v>
      </c>
      <c r="B16" s="42" t="s">
        <v>475</v>
      </c>
      <c r="C16" s="42" t="s">
        <v>465</v>
      </c>
      <c r="D16" s="42" t="s">
        <v>67</v>
      </c>
      <c r="E16" s="54"/>
      <c r="F16" s="42" t="s">
        <v>67</v>
      </c>
      <c r="G16" s="40" t="n">
        <v>7590</v>
      </c>
      <c r="H16" s="40" t="n">
        <v>2000</v>
      </c>
      <c r="I16" s="40" t="n">
        <v>3925</v>
      </c>
      <c r="J16" s="40" t="n">
        <v>9925</v>
      </c>
      <c r="K16" s="40" t="n">
        <v>0</v>
      </c>
      <c r="L16" s="40" t="n">
        <v>0</v>
      </c>
      <c r="M16" s="40" t="n">
        <v>0</v>
      </c>
      <c r="N16" s="40" t="n">
        <v>0</v>
      </c>
      <c r="O16" s="17" t="n">
        <f aca="false">SUM(G16:N16)</f>
        <v>23440</v>
      </c>
      <c r="P16" s="17" t="n">
        <f aca="false">AVERAGE(K16:M16)</f>
        <v>0</v>
      </c>
      <c r="Q16" s="17" t="n">
        <f aca="false">O16/7.6774</f>
        <v>3053.11694063094</v>
      </c>
      <c r="R16" s="55" t="n">
        <f aca="false">IFERROR(AVERAGE(K16:M16)/AVERAGE(H16:J16),"")</f>
        <v>0</v>
      </c>
      <c r="S16" s="58" t="s">
        <v>297</v>
      </c>
      <c r="T16" s="18" t="n">
        <f aca="false">IF($S16="DROPPED",0,IF(OR($S16="ONE-TIME",$S16="PERIODIC"),$Q16,IF($S16="NEW",0,$P16)))</f>
        <v>0</v>
      </c>
      <c r="U16" s="40" t="n">
        <v>2248.75</v>
      </c>
      <c r="V16" s="17" t="n">
        <f aca="false">IF($U16="","",$T16-$U16)</f>
        <v>-2248.75</v>
      </c>
      <c r="W16" s="40"/>
      <c r="X16" s="7"/>
    </row>
    <row r="17" customFormat="false" ht="15" hidden="false" customHeight="false" outlineLevel="0" collapsed="false">
      <c r="A17" s="42" t="s">
        <v>403</v>
      </c>
      <c r="B17" s="42" t="s">
        <v>476</v>
      </c>
      <c r="C17" s="42" t="s">
        <v>465</v>
      </c>
      <c r="D17" s="42" t="s">
        <v>465</v>
      </c>
      <c r="E17" s="54"/>
      <c r="F17" s="42" t="s">
        <v>72</v>
      </c>
      <c r="G17" s="40" t="n">
        <v>0</v>
      </c>
      <c r="H17" s="40" t="n">
        <v>3394.5</v>
      </c>
      <c r="I17" s="40" t="n">
        <v>10149.5</v>
      </c>
      <c r="J17" s="40" t="n">
        <v>1125.5</v>
      </c>
      <c r="K17" s="40" t="n">
        <v>850</v>
      </c>
      <c r="L17" s="40" t="n">
        <v>3619</v>
      </c>
      <c r="M17" s="40" t="n">
        <v>877.5</v>
      </c>
      <c r="N17" s="40" t="n">
        <v>0</v>
      </c>
      <c r="O17" s="17" t="n">
        <f aca="false">SUM(G17:N17)</f>
        <v>20016</v>
      </c>
      <c r="P17" s="17" t="n">
        <f aca="false">AVERAGE(K17:M17)</f>
        <v>1782.16666666667</v>
      </c>
      <c r="Q17" s="17" t="n">
        <f aca="false">O17/7.6774</f>
        <v>2607.13262302342</v>
      </c>
      <c r="R17" s="55" t="n">
        <f aca="false">IFERROR(AVERAGE(K17:M17)/AVERAGE(H17:J17),"")</f>
        <v>0.364463683152118</v>
      </c>
      <c r="S17" s="59" t="s">
        <v>384</v>
      </c>
      <c r="T17" s="18" t="n">
        <f aca="false">IF($S17="DROPPED",0,IF(OR($S17="ONE-TIME",$S17="PERIODIC"),$Q17,IF($S17="NEW",1782.17,$P17)))</f>
        <v>1782.16666666667</v>
      </c>
      <c r="U17" s="40"/>
      <c r="V17" s="17" t="str">
        <f aca="false">IF($U17="","",$T17-$U17)</f>
        <v/>
      </c>
      <c r="W17" s="40"/>
      <c r="X17" s="7"/>
    </row>
    <row r="18" customFormat="false" ht="15" hidden="false" customHeight="false" outlineLevel="0" collapsed="false">
      <c r="A18" s="42" t="s">
        <v>389</v>
      </c>
      <c r="B18" s="42" t="s">
        <v>477</v>
      </c>
      <c r="C18" s="42" t="s">
        <v>68</v>
      </c>
      <c r="D18" s="42" t="s">
        <v>465</v>
      </c>
      <c r="E18" s="54"/>
      <c r="F18" s="42" t="s">
        <v>68</v>
      </c>
      <c r="G18" s="40" t="n">
        <v>0</v>
      </c>
      <c r="H18" s="40" t="n">
        <v>0</v>
      </c>
      <c r="I18" s="40" t="n">
        <v>0</v>
      </c>
      <c r="J18" s="40" t="n">
        <v>2879.37</v>
      </c>
      <c r="K18" s="40" t="n">
        <v>12827</v>
      </c>
      <c r="L18" s="40" t="n">
        <v>165.85</v>
      </c>
      <c r="M18" s="40" t="n">
        <v>0</v>
      </c>
      <c r="N18" s="40" t="n">
        <v>0</v>
      </c>
      <c r="O18" s="17" t="n">
        <f aca="false">SUM(G18:N18)</f>
        <v>15872.22</v>
      </c>
      <c r="P18" s="17" t="n">
        <f aca="false">AVERAGE(K18:M18)</f>
        <v>4330.95</v>
      </c>
      <c r="Q18" s="17" t="n">
        <f aca="false">O18/7.6774</f>
        <v>2067.3952119207</v>
      </c>
      <c r="R18" s="55" t="n">
        <f aca="false">IFERROR(AVERAGE(K18:M18)/AVERAGE(H18:J18),"")</f>
        <v>4.51239333604226</v>
      </c>
      <c r="S18" s="58" t="s">
        <v>297</v>
      </c>
      <c r="T18" s="18" t="n">
        <f aca="false">IF($S18="DROPPED",0,IF(OR($S18="ONE-TIME",$S18="PERIODIC"),$Q18,IF($S18="NEW",0,$P18)))</f>
        <v>0</v>
      </c>
      <c r="U18" s="40"/>
      <c r="V18" s="17" t="str">
        <f aca="false">IF($U18="","",$T18-$U18)</f>
        <v/>
      </c>
      <c r="W18" s="40"/>
      <c r="X18" s="7"/>
    </row>
    <row r="19" customFormat="false" ht="15" hidden="false" customHeight="false" outlineLevel="0" collapsed="false">
      <c r="A19" s="42" t="s">
        <v>331</v>
      </c>
      <c r="B19" s="42" t="s">
        <v>472</v>
      </c>
      <c r="C19" s="42" t="s">
        <v>71</v>
      </c>
      <c r="D19" s="42" t="s">
        <v>67</v>
      </c>
      <c r="E19" s="57" t="s">
        <v>464</v>
      </c>
      <c r="F19" s="42" t="s">
        <v>67</v>
      </c>
      <c r="G19" s="40" t="n">
        <v>1260</v>
      </c>
      <c r="H19" s="40" t="n">
        <v>1503.89</v>
      </c>
      <c r="I19" s="40" t="n">
        <v>3027.63</v>
      </c>
      <c r="J19" s="40" t="n">
        <v>1540</v>
      </c>
      <c r="K19" s="40" t="n">
        <v>1660.93</v>
      </c>
      <c r="L19" s="40" t="n">
        <v>1570.96</v>
      </c>
      <c r="M19" s="40" t="n">
        <v>1540</v>
      </c>
      <c r="N19" s="40" t="n">
        <v>1540</v>
      </c>
      <c r="O19" s="17" t="n">
        <f aca="false">SUM(G19:N19)</f>
        <v>13643.41</v>
      </c>
      <c r="P19" s="17" t="n">
        <f aca="false">AVERAGE(K19:M19)</f>
        <v>1590.63</v>
      </c>
      <c r="Q19" s="17" t="n">
        <f aca="false">O19/7.6774</f>
        <v>1777.08729517806</v>
      </c>
      <c r="R19" s="55" t="n">
        <f aca="false">IFERROR(AVERAGE(K19:M19)/AVERAGE(H19:J19),"")</f>
        <v>0.785946517511266</v>
      </c>
      <c r="S19" s="56" t="s">
        <v>253</v>
      </c>
      <c r="T19" s="18" t="n">
        <f aca="false">IF($S19="DROPPED",0,IF(OR($S19="ONE-TIME",$S19="PERIODIC"),$Q19,IF($S19="NEW",1590.63,$P19)))</f>
        <v>1590.63</v>
      </c>
      <c r="U19" s="40" t="n">
        <v>1087.33</v>
      </c>
      <c r="V19" s="17" t="n">
        <f aca="false">IF($U19="","",$T19-$U19)</f>
        <v>503.3</v>
      </c>
      <c r="W19" s="40" t="n">
        <v>986.69</v>
      </c>
      <c r="X19" s="7" t="s">
        <v>478</v>
      </c>
    </row>
    <row r="20" customFormat="false" ht="15" hidden="false" customHeight="false" outlineLevel="0" collapsed="false">
      <c r="A20" s="42" t="s">
        <v>402</v>
      </c>
      <c r="B20" s="42" t="s">
        <v>462</v>
      </c>
      <c r="C20" s="42" t="s">
        <v>465</v>
      </c>
      <c r="D20" s="42" t="s">
        <v>465</v>
      </c>
      <c r="E20" s="54"/>
      <c r="F20" s="42" t="s">
        <v>72</v>
      </c>
      <c r="G20" s="40" t="n">
        <v>-1193.26</v>
      </c>
      <c r="H20" s="40" t="n">
        <v>-1965.46</v>
      </c>
      <c r="I20" s="40" t="n">
        <v>-1740.16</v>
      </c>
      <c r="J20" s="40" t="n">
        <v>-1339.54</v>
      </c>
      <c r="K20" s="40" t="n">
        <v>-2535.6</v>
      </c>
      <c r="L20" s="40" t="n">
        <v>-1260.45</v>
      </c>
      <c r="M20" s="40" t="n">
        <v>-1882.72</v>
      </c>
      <c r="N20" s="40" t="n">
        <v>-1390.23</v>
      </c>
      <c r="O20" s="17" t="n">
        <f aca="false">SUM(G20:N20)</f>
        <v>-13307.42</v>
      </c>
      <c r="P20" s="17" t="n">
        <f aca="false">AVERAGE(K20:M20)</f>
        <v>-1892.92333333333</v>
      </c>
      <c r="Q20" s="17" t="n">
        <f aca="false">O20/7.6774</f>
        <v>-1733.32378148853</v>
      </c>
      <c r="R20" s="55" t="n">
        <f aca="false">IFERROR(AVERAGE(K20:M20)/AVERAGE(H20:J20),"")</f>
        <v>1.12558769196616</v>
      </c>
      <c r="S20" s="56" t="s">
        <v>253</v>
      </c>
      <c r="T20" s="18" t="n">
        <f aca="false">IF($S20="DROPPED",0,IF(OR($S20="ONE-TIME",$S20="PERIODIC"),$Q20,IF($S20="NEW",-1892.92,$P20)))</f>
        <v>-1892.92333333333</v>
      </c>
      <c r="U20" s="40"/>
      <c r="V20" s="17" t="str">
        <f aca="false">IF($U20="","",$T20-$U20)</f>
        <v/>
      </c>
      <c r="W20" s="40"/>
      <c r="X20" s="7"/>
    </row>
    <row r="21" customFormat="false" ht="15" hidden="false" customHeight="false" outlineLevel="0" collapsed="false">
      <c r="A21" s="42" t="s">
        <v>258</v>
      </c>
      <c r="B21" s="42" t="s">
        <v>479</v>
      </c>
      <c r="C21" s="42" t="s">
        <v>61</v>
      </c>
      <c r="D21" s="42" t="s">
        <v>61</v>
      </c>
      <c r="E21" s="54"/>
      <c r="F21" s="42" t="s">
        <v>61</v>
      </c>
      <c r="G21" s="40" t="n">
        <v>1170.9</v>
      </c>
      <c r="H21" s="40" t="n">
        <v>1170.9</v>
      </c>
      <c r="I21" s="40" t="n">
        <v>1170.9</v>
      </c>
      <c r="J21" s="40" t="n">
        <v>1170.62</v>
      </c>
      <c r="K21" s="40" t="n">
        <v>1188.07</v>
      </c>
      <c r="L21" s="40" t="n">
        <v>1170.62</v>
      </c>
      <c r="M21" s="40" t="n">
        <v>1138.58</v>
      </c>
      <c r="N21" s="40" t="n">
        <v>1262.48</v>
      </c>
      <c r="O21" s="17" t="n">
        <f aca="false">SUM(G21:N21)</f>
        <v>9443.07</v>
      </c>
      <c r="P21" s="17" t="n">
        <f aca="false">AVERAGE(K21:M21)</f>
        <v>1165.75666666667</v>
      </c>
      <c r="Q21" s="17" t="n">
        <f aca="false">O21/7.6774</f>
        <v>1229.98280667934</v>
      </c>
      <c r="R21" s="55" t="n">
        <f aca="false">IFERROR(AVERAGE(K21:M21)/AVERAGE(H21:J21),"")</f>
        <v>0.995686734502138</v>
      </c>
      <c r="S21" s="56" t="s">
        <v>253</v>
      </c>
      <c r="T21" s="18" t="n">
        <f aca="false">IF($S21="DROPPED",0,IF(OR($S21="ONE-TIME",$S21="PERIODIC"),$Q21,IF($S21="NEW",1165.76,$P21)))</f>
        <v>1165.75666666667</v>
      </c>
      <c r="U21" s="40" t="n">
        <v>1080.59</v>
      </c>
      <c r="V21" s="17" t="n">
        <f aca="false">IF($U21="","",$T21-$U21)</f>
        <v>85.1666666666665</v>
      </c>
      <c r="W21" s="40" t="n">
        <v>517.68</v>
      </c>
      <c r="X21" s="7" t="s">
        <v>480</v>
      </c>
    </row>
    <row r="22" customFormat="false" ht="15" hidden="false" customHeight="false" outlineLevel="0" collapsed="false">
      <c r="A22" s="42" t="s">
        <v>338</v>
      </c>
      <c r="B22" s="42" t="s">
        <v>472</v>
      </c>
      <c r="C22" s="42" t="s">
        <v>64</v>
      </c>
      <c r="D22" s="42" t="s">
        <v>67</v>
      </c>
      <c r="E22" s="57" t="s">
        <v>464</v>
      </c>
      <c r="F22" s="42" t="s">
        <v>67</v>
      </c>
      <c r="G22" s="40" t="n">
        <v>1200</v>
      </c>
      <c r="H22" s="40" t="n">
        <v>75</v>
      </c>
      <c r="I22" s="40" t="n">
        <v>2325</v>
      </c>
      <c r="J22" s="40" t="n">
        <v>1200</v>
      </c>
      <c r="K22" s="40" t="n">
        <v>75</v>
      </c>
      <c r="L22" s="40" t="n">
        <v>2325</v>
      </c>
      <c r="M22" s="40" t="n">
        <v>1200</v>
      </c>
      <c r="N22" s="40" t="n">
        <v>144.27</v>
      </c>
      <c r="O22" s="17" t="n">
        <f aca="false">SUM(G22:N22)</f>
        <v>8544.27</v>
      </c>
      <c r="P22" s="17" t="n">
        <f aca="false">AVERAGE(K22:M22)</f>
        <v>1200</v>
      </c>
      <c r="Q22" s="17" t="n">
        <f aca="false">O22/7.6774</f>
        <v>1112.91192330737</v>
      </c>
      <c r="R22" s="55" t="n">
        <f aca="false">IFERROR(AVERAGE(K22:M22)/AVERAGE(H22:J22),"")</f>
        <v>1</v>
      </c>
      <c r="S22" s="56" t="s">
        <v>253</v>
      </c>
      <c r="T22" s="18" t="n">
        <f aca="false">IF($S22="DROPPED",0,IF(OR($S22="ONE-TIME",$S22="PERIODIC"),$Q22,IF($S22="NEW",1200,$P22)))</f>
        <v>1200</v>
      </c>
      <c r="U22" s="40" t="n">
        <v>1307</v>
      </c>
      <c r="V22" s="17" t="n">
        <f aca="false">IF($U22="","",$T22-$U22)</f>
        <v>-107</v>
      </c>
      <c r="W22" s="40"/>
      <c r="X22" s="7" t="s">
        <v>481</v>
      </c>
    </row>
    <row r="23" customFormat="false" ht="15" hidden="false" customHeight="false" outlineLevel="0" collapsed="false">
      <c r="A23" s="42" t="s">
        <v>333</v>
      </c>
      <c r="B23" s="42" t="s">
        <v>482</v>
      </c>
      <c r="C23" s="42" t="s">
        <v>66</v>
      </c>
      <c r="D23" s="42" t="s">
        <v>66</v>
      </c>
      <c r="E23" s="54"/>
      <c r="F23" s="42" t="s">
        <v>66</v>
      </c>
      <c r="G23" s="40" t="n">
        <v>1043</v>
      </c>
      <c r="H23" s="40" t="n">
        <v>1043</v>
      </c>
      <c r="I23" s="40" t="n">
        <v>1043</v>
      </c>
      <c r="J23" s="40" t="n">
        <v>1043</v>
      </c>
      <c r="K23" s="40" t="n">
        <v>1043</v>
      </c>
      <c r="L23" s="40" t="n">
        <v>1043</v>
      </c>
      <c r="M23" s="40" t="n">
        <v>1043</v>
      </c>
      <c r="N23" s="40" t="n">
        <v>1043</v>
      </c>
      <c r="O23" s="17" t="n">
        <f aca="false">SUM(G23:N23)</f>
        <v>8344</v>
      </c>
      <c r="P23" s="17" t="n">
        <f aca="false">AVERAGE(K23:M23)</f>
        <v>1043</v>
      </c>
      <c r="Q23" s="17" t="n">
        <f aca="false">O23/7.6774</f>
        <v>1086.82626930992</v>
      </c>
      <c r="R23" s="55" t="n">
        <f aca="false">IFERROR(AVERAGE(K23:M23)/AVERAGE(H23:J23),"")</f>
        <v>1</v>
      </c>
      <c r="S23" s="56" t="s">
        <v>253</v>
      </c>
      <c r="T23" s="18" t="n">
        <f aca="false">IF($S23="DROPPED",0,IF(OR($S23="ONE-TIME",$S23="PERIODIC"),$Q23,IF($S23="NEW",1043,$P23)))</f>
        <v>1043</v>
      </c>
      <c r="U23" s="40" t="n">
        <v>1043</v>
      </c>
      <c r="V23" s="17" t="n">
        <f aca="false">IF($U23="","",$T23-$U23)</f>
        <v>0</v>
      </c>
      <c r="W23" s="40"/>
      <c r="X23" s="7" t="s">
        <v>481</v>
      </c>
    </row>
    <row r="24" customFormat="false" ht="15" hidden="false" customHeight="false" outlineLevel="0" collapsed="false">
      <c r="A24" s="42" t="s">
        <v>437</v>
      </c>
      <c r="B24" s="42" t="s">
        <v>483</v>
      </c>
      <c r="C24" s="42" t="s">
        <v>465</v>
      </c>
      <c r="D24" s="42" t="s">
        <v>465</v>
      </c>
      <c r="E24" s="54"/>
      <c r="F24" s="42" t="s">
        <v>72</v>
      </c>
      <c r="G24" s="40" t="n">
        <v>1334</v>
      </c>
      <c r="H24" s="40" t="n">
        <v>1334</v>
      </c>
      <c r="I24" s="40" t="n">
        <v>1334</v>
      </c>
      <c r="J24" s="40" t="n">
        <v>1334</v>
      </c>
      <c r="K24" s="40" t="n">
        <v>1334</v>
      </c>
      <c r="L24" s="40" t="n">
        <v>1334</v>
      </c>
      <c r="M24" s="40" t="n">
        <v>0</v>
      </c>
      <c r="N24" s="40" t="n">
        <v>0</v>
      </c>
      <c r="O24" s="17" t="n">
        <f aca="false">SUM(G24:N24)</f>
        <v>8004</v>
      </c>
      <c r="P24" s="17" t="n">
        <f aca="false">AVERAGE(K24:M24)</f>
        <v>889.333333333333</v>
      </c>
      <c r="Q24" s="17" t="n">
        <f aca="false">O24/7.6774</f>
        <v>1042.54044337927</v>
      </c>
      <c r="R24" s="55" t="n">
        <f aca="false">IFERROR(AVERAGE(K24:M24)/AVERAGE(H24:J24),"")</f>
        <v>0.666666666666667</v>
      </c>
      <c r="S24" s="58" t="s">
        <v>297</v>
      </c>
      <c r="T24" s="18" t="n">
        <f aca="false">IF($S24="DROPPED",0,IF(OR($S24="ONE-TIME",$S24="PERIODIC"),$Q24,IF($S24="NEW",0,$P24)))</f>
        <v>0</v>
      </c>
      <c r="U24" s="40"/>
      <c r="V24" s="17" t="str">
        <f aca="false">IF($U24="","",$T24-$U24)</f>
        <v/>
      </c>
      <c r="W24" s="40"/>
      <c r="X24" s="7"/>
    </row>
    <row r="25" customFormat="false" ht="15" hidden="false" customHeight="false" outlineLevel="0" collapsed="false">
      <c r="A25" s="42" t="s">
        <v>276</v>
      </c>
      <c r="B25" s="42" t="s">
        <v>462</v>
      </c>
      <c r="C25" s="42" t="s">
        <v>62</v>
      </c>
      <c r="D25" s="42" t="s">
        <v>465</v>
      </c>
      <c r="E25" s="54"/>
      <c r="F25" s="42" t="s">
        <v>62</v>
      </c>
      <c r="G25" s="40" t="n">
        <v>1995</v>
      </c>
      <c r="H25" s="40" t="n">
        <v>895.98</v>
      </c>
      <c r="I25" s="40" t="n">
        <v>929.82</v>
      </c>
      <c r="J25" s="40" t="n">
        <v>1400.41</v>
      </c>
      <c r="K25" s="40" t="n">
        <v>1061.76</v>
      </c>
      <c r="L25" s="40" t="n">
        <v>759.51</v>
      </c>
      <c r="M25" s="40" t="n">
        <v>416.88</v>
      </c>
      <c r="N25" s="40" t="n">
        <v>527.36</v>
      </c>
      <c r="O25" s="17" t="n">
        <f aca="false">SUM(G25:N25)</f>
        <v>7986.72</v>
      </c>
      <c r="P25" s="17" t="n">
        <f aca="false">AVERAGE(K25:M25)</f>
        <v>746.05</v>
      </c>
      <c r="Q25" s="17" t="n">
        <f aca="false">O25/7.6774</f>
        <v>1040.28968140256</v>
      </c>
      <c r="R25" s="55" t="n">
        <f aca="false">IFERROR(AVERAGE(K25:M25)/AVERAGE(H25:J25),"")</f>
        <v>0.693739713161883</v>
      </c>
      <c r="S25" s="56" t="s">
        <v>253</v>
      </c>
      <c r="T25" s="18" t="n">
        <f aca="false">IF($S25="DROPPED",0,IF(OR($S25="ONE-TIME",$S25="PERIODIC"),$Q25,IF($S25="NEW",746.05,$P25)))</f>
        <v>746.05</v>
      </c>
      <c r="U25" s="40"/>
      <c r="V25" s="17" t="str">
        <f aca="false">IF($U25="","",$T25-$U25)</f>
        <v/>
      </c>
      <c r="W25" s="40"/>
      <c r="X25" s="7"/>
    </row>
    <row r="26" customFormat="false" ht="15" hidden="false" customHeight="false" outlineLevel="0" collapsed="false">
      <c r="A26" s="42" t="s">
        <v>370</v>
      </c>
      <c r="B26" s="42" t="s">
        <v>484</v>
      </c>
      <c r="C26" s="42" t="s">
        <v>68</v>
      </c>
      <c r="D26" s="42" t="s">
        <v>68</v>
      </c>
      <c r="E26" s="54"/>
      <c r="F26" s="42" t="s">
        <v>68</v>
      </c>
      <c r="G26" s="40" t="n">
        <v>882.84</v>
      </c>
      <c r="H26" s="40" t="n">
        <v>1008.37</v>
      </c>
      <c r="I26" s="40" t="n">
        <v>973.62</v>
      </c>
      <c r="J26" s="40" t="n">
        <v>1068.91</v>
      </c>
      <c r="K26" s="40" t="n">
        <v>1010.85</v>
      </c>
      <c r="L26" s="40" t="n">
        <v>1010.85</v>
      </c>
      <c r="M26" s="40" t="n">
        <v>1006.72</v>
      </c>
      <c r="N26" s="40" t="n">
        <v>961.96</v>
      </c>
      <c r="O26" s="17" t="n">
        <f aca="false">SUM(G26:N26)</f>
        <v>7924.12</v>
      </c>
      <c r="P26" s="17" t="n">
        <f aca="false">AVERAGE(K26:M26)</f>
        <v>1009.47333333333</v>
      </c>
      <c r="Q26" s="17" t="n">
        <f aca="false">O26/7.6774</f>
        <v>1032.13587933415</v>
      </c>
      <c r="R26" s="55" t="n">
        <f aca="false">IFERROR(AVERAGE(K26:M26)/AVERAGE(H26:J26),"")</f>
        <v>0.992631682454358</v>
      </c>
      <c r="S26" s="56" t="s">
        <v>253</v>
      </c>
      <c r="T26" s="18" t="n">
        <f aca="false">IF($S26="DROPPED",0,IF(OR($S26="ONE-TIME",$S26="PERIODIC"),$Q26,IF($S26="NEW",1009.47,$P26)))</f>
        <v>1009.47333333333</v>
      </c>
      <c r="U26" s="40" t="n">
        <v>656.66</v>
      </c>
      <c r="V26" s="17" t="n">
        <f aca="false">IF($U26="","",$T26-$U26)</f>
        <v>352.813333333333</v>
      </c>
      <c r="W26" s="40"/>
      <c r="X26" s="7" t="s">
        <v>485</v>
      </c>
    </row>
    <row r="27" customFormat="false" ht="15" hidden="false" customHeight="false" outlineLevel="0" collapsed="false">
      <c r="A27" s="42" t="s">
        <v>404</v>
      </c>
      <c r="B27" s="42" t="s">
        <v>476</v>
      </c>
      <c r="C27" s="42" t="s">
        <v>465</v>
      </c>
      <c r="D27" s="42" t="s">
        <v>465</v>
      </c>
      <c r="E27" s="54"/>
      <c r="F27" s="42" t="s">
        <v>72</v>
      </c>
      <c r="G27" s="40" t="n">
        <v>0</v>
      </c>
      <c r="H27" s="40" t="n">
        <v>0</v>
      </c>
      <c r="I27" s="40" t="n">
        <v>7655</v>
      </c>
      <c r="J27" s="40" t="n">
        <v>0</v>
      </c>
      <c r="K27" s="40" t="n">
        <v>0</v>
      </c>
      <c r="L27" s="40" t="n">
        <v>0</v>
      </c>
      <c r="M27" s="40" t="n">
        <v>0</v>
      </c>
      <c r="N27" s="40" t="n">
        <v>0</v>
      </c>
      <c r="O27" s="17" t="n">
        <f aca="false">SUM(G27:N27)</f>
        <v>7655</v>
      </c>
      <c r="P27" s="17" t="n">
        <f aca="false">AVERAGE(K27:M27)</f>
        <v>0</v>
      </c>
      <c r="Q27" s="17" t="n">
        <f aca="false">O27/7.6774</f>
        <v>997.082345585745</v>
      </c>
      <c r="R27" s="55" t="n">
        <f aca="false">IFERROR(AVERAGE(K27:M27)/AVERAGE(H27:J27),"")</f>
        <v>0</v>
      </c>
      <c r="S27" s="60" t="s">
        <v>285</v>
      </c>
      <c r="T27" s="18" t="n">
        <f aca="false">IF($S27="DROPPED",0,IF(OR($S27="ONE-TIME",$S27="PERIODIC"),$Q27,IF($S27="NEW",997.08,$P27)))</f>
        <v>997.082345585745</v>
      </c>
      <c r="U27" s="40"/>
      <c r="V27" s="17" t="str">
        <f aca="false">IF($U27="","",$T27-$U27)</f>
        <v/>
      </c>
      <c r="W27" s="40"/>
      <c r="X27" s="7"/>
    </row>
    <row r="28" customFormat="false" ht="15" hidden="false" customHeight="false" outlineLevel="0" collapsed="false">
      <c r="A28" s="42" t="s">
        <v>405</v>
      </c>
      <c r="B28" s="42" t="s">
        <v>476</v>
      </c>
      <c r="C28" s="42" t="s">
        <v>465</v>
      </c>
      <c r="D28" s="42" t="s">
        <v>465</v>
      </c>
      <c r="E28" s="54"/>
      <c r="F28" s="42" t="s">
        <v>72</v>
      </c>
      <c r="G28" s="40" t="n">
        <v>0</v>
      </c>
      <c r="H28" s="40" t="n">
        <v>0</v>
      </c>
      <c r="I28" s="40" t="n">
        <v>7345</v>
      </c>
      <c r="J28" s="40" t="n">
        <v>0</v>
      </c>
      <c r="K28" s="40" t="n">
        <v>0</v>
      </c>
      <c r="L28" s="40" t="n">
        <v>0</v>
      </c>
      <c r="M28" s="40" t="n">
        <v>0</v>
      </c>
      <c r="N28" s="40" t="n">
        <v>0</v>
      </c>
      <c r="O28" s="17" t="n">
        <f aca="false">SUM(G28:N28)</f>
        <v>7345</v>
      </c>
      <c r="P28" s="17" t="n">
        <f aca="false">AVERAGE(K28:M28)</f>
        <v>0</v>
      </c>
      <c r="Q28" s="17" t="n">
        <f aca="false">O28/7.6774</f>
        <v>956.704092531326</v>
      </c>
      <c r="R28" s="55" t="n">
        <f aca="false">IFERROR(AVERAGE(K28:M28)/AVERAGE(H28:J28),"")</f>
        <v>0</v>
      </c>
      <c r="S28" s="60" t="s">
        <v>285</v>
      </c>
      <c r="T28" s="18" t="n">
        <f aca="false">IF($S28="DROPPED",0,IF(OR($S28="ONE-TIME",$S28="PERIODIC"),$Q28,IF($S28="NEW",956.7,$P28)))</f>
        <v>956.704092531326</v>
      </c>
      <c r="U28" s="40"/>
      <c r="V28" s="17" t="str">
        <f aca="false">IF($U28="","",$T28-$U28)</f>
        <v/>
      </c>
      <c r="W28" s="40"/>
      <c r="X28" s="7"/>
    </row>
    <row r="29" customFormat="false" ht="15" hidden="false" customHeight="false" outlineLevel="0" collapsed="false">
      <c r="A29" s="42" t="s">
        <v>301</v>
      </c>
      <c r="B29" s="42" t="s">
        <v>468</v>
      </c>
      <c r="C29" s="42" t="s">
        <v>63</v>
      </c>
      <c r="D29" s="42" t="s">
        <v>63</v>
      </c>
      <c r="E29" s="54"/>
      <c r="F29" s="42" t="s">
        <v>63</v>
      </c>
      <c r="G29" s="40" t="n">
        <v>850</v>
      </c>
      <c r="H29" s="40" t="n">
        <v>850</v>
      </c>
      <c r="I29" s="40" t="n">
        <v>925</v>
      </c>
      <c r="J29" s="40" t="n">
        <v>925</v>
      </c>
      <c r="K29" s="40" t="n">
        <v>925</v>
      </c>
      <c r="L29" s="40" t="n">
        <v>925</v>
      </c>
      <c r="M29" s="40" t="n">
        <v>925</v>
      </c>
      <c r="N29" s="40" t="n">
        <v>925</v>
      </c>
      <c r="O29" s="17" t="n">
        <f aca="false">SUM(G29:N29)</f>
        <v>7250</v>
      </c>
      <c r="P29" s="17" t="n">
        <f aca="false">AVERAGE(K29:M29)</f>
        <v>925</v>
      </c>
      <c r="Q29" s="17" t="n">
        <f aca="false">O29/7.6774</f>
        <v>944.330111756584</v>
      </c>
      <c r="R29" s="55" t="n">
        <f aca="false">IFERROR(AVERAGE(K29:M29)/AVERAGE(H29:J29),"")</f>
        <v>1.02777777777778</v>
      </c>
      <c r="S29" s="56" t="s">
        <v>253</v>
      </c>
      <c r="T29" s="18" t="n">
        <f aca="false">IF($S29="DROPPED",0,IF(OR($S29="ONE-TIME",$S29="PERIODIC"),$Q29,IF($S29="NEW",925,$P29)))</f>
        <v>925</v>
      </c>
      <c r="U29" s="40" t="n">
        <v>875.5</v>
      </c>
      <c r="V29" s="17" t="n">
        <f aca="false">IF($U29="","",$T29-$U29)</f>
        <v>49.5</v>
      </c>
      <c r="W29" s="40"/>
      <c r="X29" s="7"/>
    </row>
    <row r="30" customFormat="false" ht="15" hidden="false" customHeight="false" outlineLevel="0" collapsed="false">
      <c r="A30" s="42" t="s">
        <v>340</v>
      </c>
      <c r="B30" s="42" t="s">
        <v>472</v>
      </c>
      <c r="C30" s="42" t="s">
        <v>71</v>
      </c>
      <c r="D30" s="42" t="s">
        <v>67</v>
      </c>
      <c r="E30" s="57" t="s">
        <v>464</v>
      </c>
      <c r="F30" s="42" t="s">
        <v>67</v>
      </c>
      <c r="G30" s="40" t="n">
        <v>874</v>
      </c>
      <c r="H30" s="40" t="n">
        <v>1514</v>
      </c>
      <c r="I30" s="40" t="n">
        <v>314</v>
      </c>
      <c r="J30" s="40" t="n">
        <v>779</v>
      </c>
      <c r="K30" s="40" t="n">
        <v>314</v>
      </c>
      <c r="L30" s="40" t="n">
        <v>874</v>
      </c>
      <c r="M30" s="40" t="n">
        <v>1024</v>
      </c>
      <c r="N30" s="40" t="n">
        <v>1199</v>
      </c>
      <c r="O30" s="17" t="n">
        <f aca="false">SUM(G30:N30)</f>
        <v>6892</v>
      </c>
      <c r="P30" s="17" t="n">
        <f aca="false">AVERAGE(K30:M30)</f>
        <v>737.333333333333</v>
      </c>
      <c r="Q30" s="17" t="n">
        <f aca="false">O30/7.6774</f>
        <v>897.69974210019</v>
      </c>
      <c r="R30" s="55" t="n">
        <f aca="false">IFERROR(AVERAGE(K30:M30)/AVERAGE(H30:J30),"")</f>
        <v>0.848484848484849</v>
      </c>
      <c r="S30" s="56" t="s">
        <v>253</v>
      </c>
      <c r="T30" s="18" t="n">
        <f aca="false">IF($S30="DROPPED",0,IF(OR($S30="ONE-TIME",$S30="PERIODIC"),$Q30,IF($S30="NEW",737.33,$P30)))</f>
        <v>737.333333333333</v>
      </c>
      <c r="U30" s="40" t="n">
        <v>591.17</v>
      </c>
      <c r="V30" s="17" t="n">
        <f aca="false">IF($U30="","",$T30-$U30)</f>
        <v>146.163333333333</v>
      </c>
      <c r="W30" s="40"/>
      <c r="X30" s="7" t="s">
        <v>486</v>
      </c>
    </row>
    <row r="31" customFormat="false" ht="15" hidden="false" customHeight="false" outlineLevel="0" collapsed="false">
      <c r="A31" s="42" t="s">
        <v>438</v>
      </c>
      <c r="B31" s="42" t="s">
        <v>487</v>
      </c>
      <c r="C31" s="42" t="s">
        <v>465</v>
      </c>
      <c r="D31" s="42" t="s">
        <v>465</v>
      </c>
      <c r="E31" s="54"/>
      <c r="F31" s="42" t="s">
        <v>72</v>
      </c>
      <c r="G31" s="40" t="n">
        <v>0</v>
      </c>
      <c r="H31" s="40" t="n">
        <v>-2446.03</v>
      </c>
      <c r="I31" s="40" t="n">
        <v>-928.8</v>
      </c>
      <c r="J31" s="40" t="n">
        <v>-2380.58</v>
      </c>
      <c r="K31" s="40" t="n">
        <v>0</v>
      </c>
      <c r="L31" s="40" t="n">
        <v>0</v>
      </c>
      <c r="M31" s="40" t="n">
        <v>0</v>
      </c>
      <c r="N31" s="40" t="n">
        <v>0</v>
      </c>
      <c r="O31" s="17" t="n">
        <f aca="false">SUM(G31:N31)</f>
        <v>-5755.41</v>
      </c>
      <c r="P31" s="17" t="n">
        <f aca="false">AVERAGE(K31:M31)</f>
        <v>0</v>
      </c>
      <c r="Q31" s="17" t="n">
        <f aca="false">O31/7.6774</f>
        <v>-749.656133586891</v>
      </c>
      <c r="R31" s="55" t="n">
        <f aca="false">IFERROR(AVERAGE(K31:M31)/AVERAGE(H31:J31),"")</f>
        <v>-0</v>
      </c>
      <c r="S31" s="58" t="s">
        <v>297</v>
      </c>
      <c r="T31" s="18" t="n">
        <f aca="false">IF($S31="DROPPED",0,IF(OR($S31="ONE-TIME",$S31="PERIODIC"),$Q31,IF($S31="NEW",0,$P31)))</f>
        <v>0</v>
      </c>
      <c r="U31" s="40"/>
      <c r="V31" s="17" t="str">
        <f aca="false">IF($U31="","",$T31-$U31)</f>
        <v/>
      </c>
      <c r="W31" s="40"/>
      <c r="X31" s="7"/>
    </row>
    <row r="32" customFormat="false" ht="15" hidden="false" customHeight="false" outlineLevel="0" collapsed="false">
      <c r="A32" s="42" t="s">
        <v>372</v>
      </c>
      <c r="B32" s="42" t="s">
        <v>484</v>
      </c>
      <c r="C32" s="42" t="s">
        <v>68</v>
      </c>
      <c r="D32" s="42" t="s">
        <v>68</v>
      </c>
      <c r="E32" s="54"/>
      <c r="F32" s="42" t="s">
        <v>68</v>
      </c>
      <c r="G32" s="40" t="n">
        <v>650.01</v>
      </c>
      <c r="H32" s="40" t="n">
        <v>677.63</v>
      </c>
      <c r="I32" s="40" t="n">
        <v>652.5</v>
      </c>
      <c r="J32" s="40" t="n">
        <v>649.13</v>
      </c>
      <c r="K32" s="40" t="n">
        <v>717.71</v>
      </c>
      <c r="L32" s="40" t="n">
        <v>808.77</v>
      </c>
      <c r="M32" s="40" t="n">
        <v>1289.96</v>
      </c>
      <c r="N32" s="40" t="n">
        <v>0</v>
      </c>
      <c r="O32" s="17" t="n">
        <f aca="false">SUM(G32:N32)</f>
        <v>5445.71</v>
      </c>
      <c r="P32" s="17" t="n">
        <f aca="false">AVERAGE(K32:M32)</f>
        <v>938.813333333333</v>
      </c>
      <c r="Q32" s="17" t="n">
        <f aca="false">O32/7.6774</f>
        <v>709.316956261234</v>
      </c>
      <c r="R32" s="55" t="n">
        <f aca="false">IFERROR(AVERAGE(K32:M32)/AVERAGE(H32:J32),"")</f>
        <v>1.42297626385619</v>
      </c>
      <c r="S32" s="61" t="s">
        <v>278</v>
      </c>
      <c r="T32" s="18" t="n">
        <f aca="false">IF($S32="DROPPED",0,IF(OR($S32="ONE-TIME",$S32="PERIODIC"),$Q32,IF($S32="NEW",938.81,$P32)))</f>
        <v>938.813333333333</v>
      </c>
      <c r="U32" s="40" t="n">
        <v>807.62</v>
      </c>
      <c r="V32" s="17" t="n">
        <f aca="false">IF($U32="","",$T32-$U32)</f>
        <v>131.193333333333</v>
      </c>
      <c r="W32" s="40"/>
      <c r="X32" s="7" t="s">
        <v>473</v>
      </c>
    </row>
    <row r="33" customFormat="false" ht="15" hidden="false" customHeight="false" outlineLevel="0" collapsed="false">
      <c r="A33" s="42" t="s">
        <v>373</v>
      </c>
      <c r="B33" s="42" t="s">
        <v>484</v>
      </c>
      <c r="C33" s="42" t="s">
        <v>68</v>
      </c>
      <c r="D33" s="42" t="s">
        <v>68</v>
      </c>
      <c r="E33" s="54"/>
      <c r="F33" s="42" t="s">
        <v>68</v>
      </c>
      <c r="G33" s="40" t="n">
        <v>760</v>
      </c>
      <c r="H33" s="40" t="n">
        <v>760</v>
      </c>
      <c r="I33" s="40" t="n">
        <v>760</v>
      </c>
      <c r="J33" s="40" t="n">
        <v>760</v>
      </c>
      <c r="K33" s="40" t="n">
        <v>760</v>
      </c>
      <c r="L33" s="40" t="n">
        <v>760</v>
      </c>
      <c r="M33" s="40" t="n">
        <v>760</v>
      </c>
      <c r="N33" s="40" t="n">
        <v>0</v>
      </c>
      <c r="O33" s="17" t="n">
        <f aca="false">SUM(G33:N33)</f>
        <v>5320</v>
      </c>
      <c r="P33" s="17" t="n">
        <f aca="false">AVERAGE(K33:M33)</f>
        <v>760</v>
      </c>
      <c r="Q33" s="17" t="n">
        <f aca="false">O33/7.6774</f>
        <v>692.942923385521</v>
      </c>
      <c r="R33" s="55" t="n">
        <f aca="false">IFERROR(AVERAGE(K33:M33)/AVERAGE(H33:J33),"")</f>
        <v>1</v>
      </c>
      <c r="S33" s="56" t="s">
        <v>253</v>
      </c>
      <c r="T33" s="18" t="n">
        <f aca="false">IF($S33="DROPPED",0,IF(OR($S33="ONE-TIME",$S33="PERIODIC"),$Q33,IF($S33="NEW",760,$P33)))</f>
        <v>760</v>
      </c>
      <c r="U33" s="40" t="n">
        <v>810</v>
      </c>
      <c r="V33" s="17" t="n">
        <f aca="false">IF($U33="","",$T33-$U33)</f>
        <v>-50</v>
      </c>
      <c r="W33" s="40"/>
      <c r="X33" s="7" t="s">
        <v>488</v>
      </c>
    </row>
    <row r="34" customFormat="false" ht="15" hidden="false" customHeight="false" outlineLevel="0" collapsed="false">
      <c r="A34" s="42" t="s">
        <v>341</v>
      </c>
      <c r="B34" s="42" t="s">
        <v>489</v>
      </c>
      <c r="C34" s="42" t="s">
        <v>71</v>
      </c>
      <c r="D34" s="42" t="s">
        <v>67</v>
      </c>
      <c r="E34" s="57" t="s">
        <v>464</v>
      </c>
      <c r="F34" s="42" t="s">
        <v>67</v>
      </c>
      <c r="G34" s="40" t="n">
        <v>731</v>
      </c>
      <c r="H34" s="40" t="n">
        <v>731</v>
      </c>
      <c r="I34" s="40" t="n">
        <v>731</v>
      </c>
      <c r="J34" s="40" t="n">
        <v>731</v>
      </c>
      <c r="K34" s="40" t="n">
        <v>731</v>
      </c>
      <c r="L34" s="40" t="n">
        <v>731</v>
      </c>
      <c r="M34" s="40" t="n">
        <v>731</v>
      </c>
      <c r="N34" s="40" t="n">
        <v>0</v>
      </c>
      <c r="O34" s="17" t="n">
        <f aca="false">SUM(G34:N34)</f>
        <v>5117</v>
      </c>
      <c r="P34" s="17" t="n">
        <f aca="false">AVERAGE(K34:M34)</f>
        <v>731</v>
      </c>
      <c r="Q34" s="17" t="n">
        <f aca="false">O34/7.6774</f>
        <v>666.501680256337</v>
      </c>
      <c r="R34" s="55" t="n">
        <f aca="false">IFERROR(AVERAGE(K34:M34)/AVERAGE(H34:J34),"")</f>
        <v>1</v>
      </c>
      <c r="S34" s="56" t="s">
        <v>253</v>
      </c>
      <c r="T34" s="18" t="n">
        <f aca="false">IF($S34="DROPPED",0,IF(OR($S34="ONE-TIME",$S34="PERIODIC"),$Q34,IF($S34="NEW",731,$P34)))</f>
        <v>731</v>
      </c>
      <c r="U34" s="40" t="n">
        <v>731</v>
      </c>
      <c r="V34" s="17" t="n">
        <f aca="false">IF($U34="","",$T34-$U34)</f>
        <v>0</v>
      </c>
      <c r="W34" s="40"/>
      <c r="X34" s="7"/>
    </row>
    <row r="35" customFormat="false" ht="15" hidden="false" customHeight="false" outlineLevel="0" collapsed="false">
      <c r="A35" s="42" t="s">
        <v>406</v>
      </c>
      <c r="B35" s="42" t="s">
        <v>490</v>
      </c>
      <c r="C35" s="42" t="s">
        <v>465</v>
      </c>
      <c r="D35" s="42" t="s">
        <v>465</v>
      </c>
      <c r="E35" s="54"/>
      <c r="F35" s="42" t="s">
        <v>72</v>
      </c>
      <c r="G35" s="40" t="n">
        <v>221.99</v>
      </c>
      <c r="H35" s="40" t="n">
        <v>298.32</v>
      </c>
      <c r="I35" s="40" t="n">
        <v>750.13</v>
      </c>
      <c r="J35" s="40" t="n">
        <v>814.28</v>
      </c>
      <c r="K35" s="40" t="n">
        <v>1060.19</v>
      </c>
      <c r="L35" s="40" t="n">
        <v>55.68</v>
      </c>
      <c r="M35" s="40" t="n">
        <v>1122.15</v>
      </c>
      <c r="N35" s="40" t="n">
        <v>361.81</v>
      </c>
      <c r="O35" s="17" t="n">
        <f aca="false">SUM(G35:N35)</f>
        <v>4684.55</v>
      </c>
      <c r="P35" s="17" t="n">
        <f aca="false">AVERAGE(K35:M35)</f>
        <v>746.006666666667</v>
      </c>
      <c r="Q35" s="17" t="n">
        <f aca="false">O35/7.6774</f>
        <v>610.174017245422</v>
      </c>
      <c r="R35" s="55" t="n">
        <f aca="false">IFERROR(AVERAGE(K35:M35)/AVERAGE(H35:J35),"")</f>
        <v>1.20147310667676</v>
      </c>
      <c r="S35" s="56" t="s">
        <v>253</v>
      </c>
      <c r="T35" s="18" t="n">
        <f aca="false">IF($S35="DROPPED",0,IF(OR($S35="ONE-TIME",$S35="PERIODIC"),$Q35,IF($S35="NEW",746.01,$P35)))</f>
        <v>746.006666666667</v>
      </c>
      <c r="U35" s="40"/>
      <c r="V35" s="17" t="str">
        <f aca="false">IF($U35="","",$T35-$U35)</f>
        <v/>
      </c>
      <c r="W35" s="40"/>
      <c r="X35" s="7"/>
    </row>
    <row r="36" customFormat="false" ht="15" hidden="false" customHeight="false" outlineLevel="0" collapsed="false">
      <c r="A36" s="42" t="s">
        <v>302</v>
      </c>
      <c r="B36" s="42" t="s">
        <v>467</v>
      </c>
      <c r="C36" s="42" t="s">
        <v>63</v>
      </c>
      <c r="D36" s="42" t="s">
        <v>465</v>
      </c>
      <c r="E36" s="54"/>
      <c r="F36" s="42" t="s">
        <v>63</v>
      </c>
      <c r="G36" s="40" t="n">
        <v>100</v>
      </c>
      <c r="H36" s="40" t="n">
        <v>400</v>
      </c>
      <c r="I36" s="40" t="n">
        <v>50</v>
      </c>
      <c r="J36" s="40" t="n">
        <v>320</v>
      </c>
      <c r="K36" s="40" t="n">
        <v>800</v>
      </c>
      <c r="L36" s="40" t="n">
        <v>950</v>
      </c>
      <c r="M36" s="40" t="n">
        <v>570.51</v>
      </c>
      <c r="N36" s="40" t="n">
        <v>1070.47</v>
      </c>
      <c r="O36" s="17" t="n">
        <f aca="false">SUM(G36:N36)</f>
        <v>4260.98</v>
      </c>
      <c r="P36" s="17" t="n">
        <f aca="false">AVERAGE(K36:M36)</f>
        <v>773.503333333333</v>
      </c>
      <c r="Q36" s="17" t="n">
        <f aca="false">O36/7.6774</f>
        <v>555.002995805872</v>
      </c>
      <c r="R36" s="55" t="n">
        <f aca="false">IFERROR(AVERAGE(K36:M36)/AVERAGE(H36:J36),"")</f>
        <v>3.01364935064935</v>
      </c>
      <c r="S36" s="61" t="s">
        <v>278</v>
      </c>
      <c r="T36" s="18" t="n">
        <f aca="false">IF($S36="DROPPED",0,IF(OR($S36="ONE-TIME",$S36="PERIODIC"),$Q36,IF($S36="NEW",773.5,$P36)))</f>
        <v>773.503333333333</v>
      </c>
      <c r="U36" s="40"/>
      <c r="V36" s="17" t="str">
        <f aca="false">IF($U36="","",$T36-$U36)</f>
        <v/>
      </c>
      <c r="W36" s="40"/>
      <c r="X36" s="7"/>
    </row>
    <row r="37" customFormat="false" ht="15" hidden="false" customHeight="false" outlineLevel="0" collapsed="false">
      <c r="A37" s="42" t="s">
        <v>342</v>
      </c>
      <c r="B37" s="42" t="s">
        <v>472</v>
      </c>
      <c r="C37" s="42" t="s">
        <v>465</v>
      </c>
      <c r="D37" s="42" t="s">
        <v>67</v>
      </c>
      <c r="E37" s="54"/>
      <c r="F37" s="42" t="s">
        <v>67</v>
      </c>
      <c r="G37" s="40" t="n">
        <v>565</v>
      </c>
      <c r="H37" s="40" t="n">
        <v>485</v>
      </c>
      <c r="I37" s="40" t="n">
        <v>485</v>
      </c>
      <c r="J37" s="40" t="n">
        <v>485</v>
      </c>
      <c r="K37" s="40" t="n">
        <v>485</v>
      </c>
      <c r="L37" s="40" t="n">
        <v>485</v>
      </c>
      <c r="M37" s="40" t="n">
        <v>485</v>
      </c>
      <c r="N37" s="40" t="n">
        <v>485</v>
      </c>
      <c r="O37" s="17" t="n">
        <f aca="false">SUM(G37:N37)</f>
        <v>3960</v>
      </c>
      <c r="P37" s="17" t="n">
        <f aca="false">AVERAGE(K37:M37)</f>
        <v>485</v>
      </c>
      <c r="Q37" s="17" t="n">
        <f aca="false">O37/7.6774</f>
        <v>515.799619662907</v>
      </c>
      <c r="R37" s="55" t="n">
        <f aca="false">IFERROR(AVERAGE(K37:M37)/AVERAGE(H37:J37),"")</f>
        <v>1</v>
      </c>
      <c r="S37" s="56" t="s">
        <v>253</v>
      </c>
      <c r="T37" s="18" t="n">
        <f aca="false">IF($S37="DROPPED",0,IF(OR($S37="ONE-TIME",$S37="PERIODIC"),$Q37,IF($S37="NEW",485,$P37)))</f>
        <v>485</v>
      </c>
      <c r="U37" s="40" t="n">
        <v>465</v>
      </c>
      <c r="V37" s="17" t="n">
        <f aca="false">IF($U37="","",$T37-$U37)</f>
        <v>20</v>
      </c>
      <c r="W37" s="40"/>
      <c r="X37" s="7" t="s">
        <v>491</v>
      </c>
    </row>
    <row r="38" customFormat="false" ht="15" hidden="false" customHeight="false" outlineLevel="0" collapsed="false">
      <c r="A38" s="42" t="s">
        <v>343</v>
      </c>
      <c r="B38" s="42" t="s">
        <v>470</v>
      </c>
      <c r="C38" s="42" t="s">
        <v>465</v>
      </c>
      <c r="D38" s="42" t="s">
        <v>67</v>
      </c>
      <c r="E38" s="54"/>
      <c r="F38" s="42" t="s">
        <v>67</v>
      </c>
      <c r="G38" s="40" t="n">
        <v>921</v>
      </c>
      <c r="H38" s="40" t="n">
        <v>863</v>
      </c>
      <c r="I38" s="40" t="n">
        <v>863</v>
      </c>
      <c r="J38" s="40" t="n">
        <v>0</v>
      </c>
      <c r="K38" s="40" t="n">
        <v>0</v>
      </c>
      <c r="L38" s="40" t="n">
        <v>0</v>
      </c>
      <c r="M38" s="40" t="n">
        <v>0</v>
      </c>
      <c r="N38" s="40" t="n">
        <v>882.6</v>
      </c>
      <c r="O38" s="17" t="n">
        <f aca="false">SUM(G38:N38)</f>
        <v>3529.6</v>
      </c>
      <c r="P38" s="17" t="n">
        <f aca="false">AVERAGE(K38:M38)</f>
        <v>0</v>
      </c>
      <c r="Q38" s="17" t="n">
        <f aca="false">O38/7.6774</f>
        <v>459.738974131868</v>
      </c>
      <c r="R38" s="55" t="n">
        <f aca="false">IFERROR(AVERAGE(K38:M38)/AVERAGE(H38:J38),"")</f>
        <v>0</v>
      </c>
      <c r="S38" s="62" t="s">
        <v>291</v>
      </c>
      <c r="T38" s="18" t="n">
        <f aca="false">IF($S38="DROPPED",0,IF(OR($S38="ONE-TIME",$S38="PERIODIC"),$Q38,IF($S38="NEW",459.74,$P38)))</f>
        <v>459.738974131868</v>
      </c>
      <c r="U38" s="40" t="n">
        <v>860.67</v>
      </c>
      <c r="V38" s="17" t="n">
        <f aca="false">IF($U38="","",$T38-$U38)</f>
        <v>-400.931025868132</v>
      </c>
      <c r="W38" s="40"/>
      <c r="X38" s="7"/>
    </row>
    <row r="39" customFormat="false" ht="15" hidden="false" customHeight="false" outlineLevel="0" collapsed="false">
      <c r="A39" s="42" t="s">
        <v>363</v>
      </c>
      <c r="B39" s="42" t="s">
        <v>472</v>
      </c>
      <c r="C39" s="42" t="s">
        <v>63</v>
      </c>
      <c r="D39" s="42" t="s">
        <v>67</v>
      </c>
      <c r="E39" s="57" t="s">
        <v>464</v>
      </c>
      <c r="F39" s="42" t="s">
        <v>67</v>
      </c>
      <c r="G39" s="40" t="n">
        <v>481.05</v>
      </c>
      <c r="H39" s="40" t="n">
        <v>0</v>
      </c>
      <c r="I39" s="40" t="n">
        <v>981.22</v>
      </c>
      <c r="J39" s="40" t="n">
        <v>468.47</v>
      </c>
      <c r="K39" s="40" t="n">
        <v>438.1</v>
      </c>
      <c r="L39" s="40" t="n">
        <v>422.3</v>
      </c>
      <c r="M39" s="40" t="n">
        <v>437.51</v>
      </c>
      <c r="N39" s="40" t="n">
        <v>0</v>
      </c>
      <c r="O39" s="17" t="n">
        <f aca="false">SUM(G39:N39)</f>
        <v>3228.65</v>
      </c>
      <c r="P39" s="17" t="n">
        <f aca="false">AVERAGE(K39:M39)</f>
        <v>432.636666666667</v>
      </c>
      <c r="Q39" s="17" t="n">
        <f aca="false">O39/7.6774</f>
        <v>420.539505561779</v>
      </c>
      <c r="R39" s="55" t="n">
        <f aca="false">IFERROR(AVERAGE(K39:M39)/AVERAGE(H39:J39),"")</f>
        <v>0.895301754168133</v>
      </c>
      <c r="S39" s="56" t="s">
        <v>253</v>
      </c>
      <c r="T39" s="18" t="n">
        <f aca="false">IF($S39="DROPPED",0,IF(OR($S39="ONE-TIME",$S39="PERIODIC"),$Q39,IF($S39="NEW",432.64,$P39)))</f>
        <v>432.636666666667</v>
      </c>
      <c r="U39" s="40" t="n">
        <v>469</v>
      </c>
      <c r="V39" s="17" t="n">
        <f aca="false">IF($U39="","",$T39-$U39)</f>
        <v>-36.3633333333333</v>
      </c>
      <c r="W39" s="40" t="n">
        <v>461.4</v>
      </c>
      <c r="X39" s="7"/>
    </row>
    <row r="40" customFormat="false" ht="15" hidden="false" customHeight="false" outlineLevel="0" collapsed="false">
      <c r="A40" s="42" t="s">
        <v>385</v>
      </c>
      <c r="B40" s="42" t="s">
        <v>484</v>
      </c>
      <c r="C40" s="42" t="s">
        <v>68</v>
      </c>
      <c r="D40" s="42" t="s">
        <v>68</v>
      </c>
      <c r="E40" s="54"/>
      <c r="F40" s="42" t="s">
        <v>68</v>
      </c>
      <c r="G40" s="40" t="n">
        <v>829.01</v>
      </c>
      <c r="H40" s="40" t="n">
        <v>900.19</v>
      </c>
      <c r="I40" s="40" t="n">
        <v>841.73</v>
      </c>
      <c r="J40" s="40" t="n">
        <v>269.61</v>
      </c>
      <c r="K40" s="40" t="n">
        <v>95.45</v>
      </c>
      <c r="L40" s="40" t="n">
        <v>46.51</v>
      </c>
      <c r="M40" s="40" t="n">
        <v>26.3</v>
      </c>
      <c r="N40" s="40" t="n">
        <v>26.24</v>
      </c>
      <c r="O40" s="17" t="n">
        <f aca="false">SUM(G40:N40)</f>
        <v>3035.04</v>
      </c>
      <c r="P40" s="17" t="n">
        <f aca="false">AVERAGE(K40:M40)</f>
        <v>56.0866666666667</v>
      </c>
      <c r="Q40" s="17" t="n">
        <f aca="false">O40/7.6774</f>
        <v>395.321332742856</v>
      </c>
      <c r="R40" s="55" t="n">
        <f aca="false">IFERROR(AVERAGE(K40:M40)/AVERAGE(H40:J40),"")</f>
        <v>0.0836477706024767</v>
      </c>
      <c r="S40" s="59" t="s">
        <v>384</v>
      </c>
      <c r="T40" s="18" t="n">
        <f aca="false">IF($S40="DROPPED",0,IF(OR($S40="ONE-TIME",$S40="PERIODIC"),$Q40,IF($S40="NEW",56.09,$P40)))</f>
        <v>56.0866666666667</v>
      </c>
      <c r="U40" s="40" t="n">
        <v>100.8</v>
      </c>
      <c r="V40" s="17" t="n">
        <f aca="false">IF($U40="","",$T40-$U40)</f>
        <v>-44.7133333333333</v>
      </c>
      <c r="W40" s="40"/>
      <c r="X40" s="7"/>
    </row>
    <row r="41" customFormat="false" ht="15" hidden="false" customHeight="false" outlineLevel="0" collapsed="false">
      <c r="A41" s="42" t="s">
        <v>409</v>
      </c>
      <c r="B41" s="42" t="s">
        <v>492</v>
      </c>
      <c r="C41" s="42" t="s">
        <v>465</v>
      </c>
      <c r="D41" s="42" t="s">
        <v>465</v>
      </c>
      <c r="E41" s="54"/>
      <c r="F41" s="42" t="s">
        <v>72</v>
      </c>
      <c r="G41" s="40" t="n">
        <v>500.01</v>
      </c>
      <c r="H41" s="40" t="n">
        <v>137.17</v>
      </c>
      <c r="I41" s="40" t="n">
        <v>204.38</v>
      </c>
      <c r="J41" s="40" t="n">
        <v>688.17</v>
      </c>
      <c r="K41" s="40" t="n">
        <v>61.83</v>
      </c>
      <c r="L41" s="40" t="n">
        <v>894.1</v>
      </c>
      <c r="M41" s="40" t="n">
        <v>172.31</v>
      </c>
      <c r="N41" s="40" t="n">
        <v>324.21</v>
      </c>
      <c r="O41" s="17" t="n">
        <f aca="false">SUM(G41:N41)</f>
        <v>2982.18</v>
      </c>
      <c r="P41" s="17" t="n">
        <f aca="false">AVERAGE(K41:M41)</f>
        <v>376.08</v>
      </c>
      <c r="Q41" s="17" t="n">
        <f aca="false">O41/7.6774</f>
        <v>388.436189334931</v>
      </c>
      <c r="R41" s="55" t="n">
        <f aca="false">IFERROR(AVERAGE(K41:M41)/AVERAGE(H41:J41),"")</f>
        <v>1.09567649458105</v>
      </c>
      <c r="S41" s="56" t="s">
        <v>253</v>
      </c>
      <c r="T41" s="18" t="n">
        <f aca="false">IF($S41="DROPPED",0,IF(OR($S41="ONE-TIME",$S41="PERIODIC"),$Q41,IF($S41="NEW",376.08,$P41)))</f>
        <v>376.08</v>
      </c>
      <c r="U41" s="40"/>
      <c r="V41" s="17" t="str">
        <f aca="false">IF($U41="","",$T41-$U41)</f>
        <v/>
      </c>
      <c r="W41" s="40"/>
      <c r="X41" s="7"/>
    </row>
    <row r="42" customFormat="false" ht="15" hidden="false" customHeight="false" outlineLevel="0" collapsed="false">
      <c r="A42" s="42" t="s">
        <v>303</v>
      </c>
      <c r="B42" s="42" t="s">
        <v>467</v>
      </c>
      <c r="C42" s="42" t="s">
        <v>63</v>
      </c>
      <c r="D42" s="42" t="s">
        <v>465</v>
      </c>
      <c r="E42" s="54"/>
      <c r="F42" s="42" t="s">
        <v>63</v>
      </c>
      <c r="G42" s="40" t="n">
        <v>0</v>
      </c>
      <c r="H42" s="40" t="n">
        <v>2969</v>
      </c>
      <c r="I42" s="40" t="n">
        <v>0</v>
      </c>
      <c r="J42" s="40" t="n">
        <v>0</v>
      </c>
      <c r="K42" s="40" t="n">
        <v>0</v>
      </c>
      <c r="L42" s="40" t="n">
        <v>0</v>
      </c>
      <c r="M42" s="40" t="n">
        <v>0</v>
      </c>
      <c r="N42" s="40" t="n">
        <v>0</v>
      </c>
      <c r="O42" s="17" t="n">
        <f aca="false">SUM(G42:N42)</f>
        <v>2969</v>
      </c>
      <c r="P42" s="17" t="n">
        <f aca="false">AVERAGE(K42:M42)</f>
        <v>0</v>
      </c>
      <c r="Q42" s="17" t="n">
        <f aca="false">O42/7.6774</f>
        <v>386.719462317972</v>
      </c>
      <c r="R42" s="55" t="n">
        <f aca="false">IFERROR(AVERAGE(K42:M42)/AVERAGE(H42:J42),"")</f>
        <v>0</v>
      </c>
      <c r="S42" s="60" t="s">
        <v>285</v>
      </c>
      <c r="T42" s="18" t="n">
        <f aca="false">IF($S42="DROPPED",0,IF(OR($S42="ONE-TIME",$S42="PERIODIC"),$Q42,IF($S42="NEW",386.72,$P42)))</f>
        <v>386.719462317972</v>
      </c>
      <c r="U42" s="40"/>
      <c r="V42" s="17" t="str">
        <f aca="false">IF($U42="","",$T42-$U42)</f>
        <v/>
      </c>
      <c r="W42" s="40"/>
      <c r="X42" s="7"/>
    </row>
    <row r="43" customFormat="false" ht="15" hidden="false" customHeight="false" outlineLevel="0" collapsed="false">
      <c r="A43" s="42" t="s">
        <v>330</v>
      </c>
      <c r="B43" s="42" t="s">
        <v>472</v>
      </c>
      <c r="C43" s="42" t="s">
        <v>65</v>
      </c>
      <c r="D43" s="42" t="s">
        <v>65</v>
      </c>
      <c r="E43" s="54"/>
      <c r="F43" s="42" t="s">
        <v>65</v>
      </c>
      <c r="G43" s="40" t="n">
        <v>319</v>
      </c>
      <c r="H43" s="40" t="n">
        <v>319</v>
      </c>
      <c r="I43" s="40" t="n">
        <v>319</v>
      </c>
      <c r="J43" s="40" t="n">
        <v>341.33</v>
      </c>
      <c r="K43" s="40" t="n">
        <v>341.33</v>
      </c>
      <c r="L43" s="40" t="n">
        <v>341.33</v>
      </c>
      <c r="M43" s="40" t="n">
        <v>341.33</v>
      </c>
      <c r="N43" s="40" t="n">
        <v>341.33</v>
      </c>
      <c r="O43" s="17" t="n">
        <f aca="false">SUM(G43:N43)</f>
        <v>2663.65</v>
      </c>
      <c r="P43" s="17" t="n">
        <f aca="false">AVERAGE(K43:M43)</f>
        <v>341.33</v>
      </c>
      <c r="Q43" s="17" t="n">
        <f aca="false">O43/7.6774</f>
        <v>346.946883059369</v>
      </c>
      <c r="R43" s="55" t="n">
        <f aca="false">IFERROR(AVERAGE(K43:M43)/AVERAGE(H43:J43),"")</f>
        <v>1.04560260586319</v>
      </c>
      <c r="S43" s="56" t="s">
        <v>253</v>
      </c>
      <c r="T43" s="18" t="n">
        <f aca="false">IF($S43="DROPPED",0,IF(OR($S43="ONE-TIME",$S43="PERIODIC"),$Q43,IF($S43="NEW",341.33,$P43)))</f>
        <v>341.33</v>
      </c>
      <c r="U43" s="40" t="n">
        <v>319</v>
      </c>
      <c r="V43" s="17" t="n">
        <f aca="false">IF($U43="","",$T43-$U43)</f>
        <v>22.33</v>
      </c>
      <c r="W43" s="40"/>
      <c r="X43" s="7"/>
    </row>
    <row r="44" customFormat="false" ht="15" hidden="false" customHeight="false" outlineLevel="0" collapsed="false">
      <c r="A44" s="42" t="s">
        <v>375</v>
      </c>
      <c r="B44" s="42" t="s">
        <v>493</v>
      </c>
      <c r="C44" s="42" t="s">
        <v>465</v>
      </c>
      <c r="D44" s="42" t="s">
        <v>68</v>
      </c>
      <c r="E44" s="54"/>
      <c r="F44" s="42" t="s">
        <v>68</v>
      </c>
      <c r="G44" s="40" t="n">
        <v>0</v>
      </c>
      <c r="H44" s="40" t="n">
        <v>0</v>
      </c>
      <c r="I44" s="40" t="n">
        <v>500</v>
      </c>
      <c r="J44" s="40" t="n">
        <v>250</v>
      </c>
      <c r="K44" s="40" t="n">
        <v>500</v>
      </c>
      <c r="L44" s="40" t="n">
        <v>500</v>
      </c>
      <c r="M44" s="40" t="n">
        <v>250</v>
      </c>
      <c r="N44" s="40" t="n">
        <v>500</v>
      </c>
      <c r="O44" s="17" t="n">
        <f aca="false">SUM(G44:N44)</f>
        <v>2500</v>
      </c>
      <c r="P44" s="17" t="n">
        <f aca="false">AVERAGE(K44:M44)</f>
        <v>416.666666666667</v>
      </c>
      <c r="Q44" s="17" t="n">
        <f aca="false">O44/7.6774</f>
        <v>325.631073019512</v>
      </c>
      <c r="R44" s="55" t="n">
        <f aca="false">IFERROR(AVERAGE(K44:M44)/AVERAGE(H44:J44),"")</f>
        <v>1.66666666666667</v>
      </c>
      <c r="S44" s="61" t="s">
        <v>278</v>
      </c>
      <c r="T44" s="18" t="n">
        <f aca="false">IF($S44="DROPPED",0,IF(OR($S44="ONE-TIME",$S44="PERIODIC"),$Q44,IF($S44="NEW",416.67,$P44)))</f>
        <v>416.666666666667</v>
      </c>
      <c r="U44" s="40" t="n">
        <v>368.75</v>
      </c>
      <c r="V44" s="17" t="n">
        <f aca="false">IF($U44="","",$T44-$U44)</f>
        <v>47.9166666666667</v>
      </c>
      <c r="W44" s="40"/>
      <c r="X44" s="7"/>
    </row>
    <row r="45" customFormat="false" ht="15" hidden="false" customHeight="false" outlineLevel="0" collapsed="false">
      <c r="A45" s="42" t="s">
        <v>262</v>
      </c>
      <c r="B45" s="42" t="s">
        <v>472</v>
      </c>
      <c r="C45" s="42" t="s">
        <v>71</v>
      </c>
      <c r="D45" s="42" t="s">
        <v>62</v>
      </c>
      <c r="E45" s="57" t="s">
        <v>464</v>
      </c>
      <c r="F45" s="42" t="s">
        <v>62</v>
      </c>
      <c r="G45" s="40" t="n">
        <v>293.14</v>
      </c>
      <c r="H45" s="40" t="n">
        <v>293.14</v>
      </c>
      <c r="I45" s="40" t="n">
        <v>293.14</v>
      </c>
      <c r="J45" s="40" t="n">
        <v>293.14</v>
      </c>
      <c r="K45" s="40" t="n">
        <v>293.14</v>
      </c>
      <c r="L45" s="40" t="n">
        <v>293.14</v>
      </c>
      <c r="M45" s="40" t="n">
        <v>293.14</v>
      </c>
      <c r="N45" s="40" t="n">
        <v>400.13</v>
      </c>
      <c r="O45" s="17" t="n">
        <f aca="false">SUM(G45:N45)</f>
        <v>2452.11</v>
      </c>
      <c r="P45" s="17" t="n">
        <f aca="false">AVERAGE(K45:M45)</f>
        <v>293.14</v>
      </c>
      <c r="Q45" s="17" t="n">
        <f aca="false">O45/7.6774</f>
        <v>319.39328418475</v>
      </c>
      <c r="R45" s="55" t="n">
        <f aca="false">IFERROR(AVERAGE(K45:M45)/AVERAGE(H45:J45),"")</f>
        <v>1</v>
      </c>
      <c r="S45" s="56" t="s">
        <v>253</v>
      </c>
      <c r="T45" s="18" t="n">
        <f aca="false">IF($S45="DROPPED",0,IF(OR($S45="ONE-TIME",$S45="PERIODIC"),$Q45,IF($S45="NEW",293.14,$P45)))</f>
        <v>293.14</v>
      </c>
      <c r="U45" s="40" t="n">
        <v>173.31</v>
      </c>
      <c r="V45" s="17" t="n">
        <f aca="false">IF($U45="","",$T45-$U45)</f>
        <v>119.83</v>
      </c>
      <c r="W45" s="40"/>
      <c r="X45" s="7" t="s">
        <v>494</v>
      </c>
    </row>
    <row r="46" customFormat="false" ht="15" hidden="false" customHeight="false" outlineLevel="0" collapsed="false">
      <c r="A46" s="42" t="s">
        <v>344</v>
      </c>
      <c r="B46" s="42" t="s">
        <v>472</v>
      </c>
      <c r="C46" s="42" t="s">
        <v>71</v>
      </c>
      <c r="D46" s="42" t="s">
        <v>67</v>
      </c>
      <c r="E46" s="57" t="s">
        <v>464</v>
      </c>
      <c r="F46" s="42" t="s">
        <v>67</v>
      </c>
      <c r="G46" s="40" t="n">
        <v>230.5</v>
      </c>
      <c r="H46" s="40" t="n">
        <v>279.85</v>
      </c>
      <c r="I46" s="40" t="n">
        <v>263.4</v>
      </c>
      <c r="J46" s="40" t="n">
        <v>337.42</v>
      </c>
      <c r="K46" s="40" t="n">
        <v>353.88</v>
      </c>
      <c r="L46" s="40" t="n">
        <v>312.74</v>
      </c>
      <c r="M46" s="40" t="n">
        <v>431.96</v>
      </c>
      <c r="N46" s="40" t="n">
        <v>203.08</v>
      </c>
      <c r="O46" s="17" t="n">
        <f aca="false">SUM(G46:N46)</f>
        <v>2412.83</v>
      </c>
      <c r="P46" s="17" t="n">
        <f aca="false">AVERAGE(K46:M46)</f>
        <v>366.193333333333</v>
      </c>
      <c r="Q46" s="17" t="n">
        <f aca="false">O46/7.6774</f>
        <v>314.276968765468</v>
      </c>
      <c r="R46" s="55" t="n">
        <f aca="false">IFERROR(AVERAGE(K46:M46)/AVERAGE(H46:J46),"")</f>
        <v>1.24743661076226</v>
      </c>
      <c r="S46" s="56" t="s">
        <v>253</v>
      </c>
      <c r="T46" s="18" t="n">
        <f aca="false">IF($S46="DROPPED",0,IF(OR($S46="ONE-TIME",$S46="PERIODIC"),$Q46,IF($S46="NEW",366.19,$P46)))</f>
        <v>366.193333333333</v>
      </c>
      <c r="U46" s="40" t="n">
        <v>283</v>
      </c>
      <c r="V46" s="17" t="n">
        <f aca="false">IF($U46="","",$T46-$U46)</f>
        <v>83.1933333333333</v>
      </c>
      <c r="W46" s="40"/>
      <c r="X46" s="7" t="s">
        <v>495</v>
      </c>
    </row>
    <row r="47" customFormat="false" ht="15" hidden="false" customHeight="false" outlineLevel="0" collapsed="false">
      <c r="A47" s="42" t="s">
        <v>320</v>
      </c>
      <c r="B47" s="42" t="s">
        <v>468</v>
      </c>
      <c r="C47" s="42" t="s">
        <v>64</v>
      </c>
      <c r="D47" s="42" t="s">
        <v>465</v>
      </c>
      <c r="E47" s="54"/>
      <c r="F47" s="42" t="s">
        <v>64</v>
      </c>
      <c r="G47" s="40" t="n">
        <v>280</v>
      </c>
      <c r="H47" s="40" t="n">
        <v>280</v>
      </c>
      <c r="I47" s="40" t="n">
        <v>330.4</v>
      </c>
      <c r="J47" s="40" t="n">
        <v>288.4</v>
      </c>
      <c r="K47" s="40" t="n">
        <v>288.4</v>
      </c>
      <c r="L47" s="40" t="n">
        <v>288.4</v>
      </c>
      <c r="M47" s="40" t="n">
        <v>288.4</v>
      </c>
      <c r="N47" s="40" t="n">
        <v>288.4</v>
      </c>
      <c r="O47" s="17" t="n">
        <f aca="false">SUM(G47:N47)</f>
        <v>2332.4</v>
      </c>
      <c r="P47" s="17" t="n">
        <f aca="false">AVERAGE(K47:M47)</f>
        <v>288.4</v>
      </c>
      <c r="Q47" s="17" t="n">
        <f aca="false">O47/7.6774</f>
        <v>303.800765884284</v>
      </c>
      <c r="R47" s="55" t="n">
        <f aca="false">IFERROR(AVERAGE(K47:M47)/AVERAGE(H47:J47),"")</f>
        <v>0.962616822429907</v>
      </c>
      <c r="S47" s="56" t="s">
        <v>253</v>
      </c>
      <c r="T47" s="18" t="n">
        <f aca="false">IF($S47="DROPPED",0,IF(OR($S47="ONE-TIME",$S47="PERIODIC"),$Q47,IF($S47="NEW",288.4,$P47)))</f>
        <v>288.4</v>
      </c>
      <c r="U47" s="40"/>
      <c r="V47" s="17" t="str">
        <f aca="false">IF($U47="","",$T47-$U47)</f>
        <v/>
      </c>
      <c r="W47" s="40"/>
      <c r="X47" s="7"/>
    </row>
    <row r="48" customFormat="false" ht="15" hidden="false" customHeight="false" outlineLevel="0" collapsed="false">
      <c r="A48" s="42" t="s">
        <v>322</v>
      </c>
      <c r="B48" s="42" t="s">
        <v>479</v>
      </c>
      <c r="C48" s="42" t="s">
        <v>64</v>
      </c>
      <c r="D48" s="42" t="s">
        <v>64</v>
      </c>
      <c r="E48" s="54"/>
      <c r="F48" s="42" t="s">
        <v>64</v>
      </c>
      <c r="G48" s="40" t="n">
        <v>238.29</v>
      </c>
      <c r="H48" s="40" t="n">
        <v>266.62</v>
      </c>
      <c r="I48" s="40" t="n">
        <v>266.62</v>
      </c>
      <c r="J48" s="40" t="n">
        <v>271.56</v>
      </c>
      <c r="K48" s="40" t="n">
        <v>336.07</v>
      </c>
      <c r="L48" s="40" t="n">
        <v>301.9</v>
      </c>
      <c r="M48" s="40" t="n">
        <v>301.9</v>
      </c>
      <c r="N48" s="40" t="n">
        <v>302.07</v>
      </c>
      <c r="O48" s="17" t="n">
        <f aca="false">SUM(G48:N48)</f>
        <v>2285.03</v>
      </c>
      <c r="P48" s="17" t="n">
        <f aca="false">AVERAGE(K48:M48)</f>
        <v>313.29</v>
      </c>
      <c r="Q48" s="17" t="n">
        <f aca="false">O48/7.6774</f>
        <v>297.63070831271</v>
      </c>
      <c r="R48" s="55" t="n">
        <f aca="false">IFERROR(AVERAGE(K48:M48)/AVERAGE(H48:J48),"")</f>
        <v>1.16783051689861</v>
      </c>
      <c r="S48" s="56" t="s">
        <v>253</v>
      </c>
      <c r="T48" s="18" t="n">
        <f aca="false">IF($S48="DROPPED",0,IF(OR($S48="ONE-TIME",$S48="PERIODIC"),$Q48,IF($S48="NEW",313.29,$P48)))</f>
        <v>313.29</v>
      </c>
      <c r="U48" s="40" t="n">
        <v>630.42</v>
      </c>
      <c r="V48" s="17" t="n">
        <f aca="false">IF($U48="","",$T48-$U48)</f>
        <v>-317.13</v>
      </c>
      <c r="W48" s="40"/>
      <c r="X48" s="7"/>
    </row>
    <row r="49" customFormat="false" ht="15" hidden="false" customHeight="false" outlineLevel="0" collapsed="false">
      <c r="A49" s="42" t="s">
        <v>347</v>
      </c>
      <c r="B49" s="42" t="s">
        <v>466</v>
      </c>
      <c r="C49" s="42" t="s">
        <v>465</v>
      </c>
      <c r="D49" s="42" t="s">
        <v>67</v>
      </c>
      <c r="E49" s="54"/>
      <c r="F49" s="42" t="s">
        <v>67</v>
      </c>
      <c r="G49" s="40" t="n">
        <v>258.15</v>
      </c>
      <c r="H49" s="40" t="n">
        <v>249.15</v>
      </c>
      <c r="I49" s="40" t="n">
        <v>254.15</v>
      </c>
      <c r="J49" s="40" t="n">
        <v>259.2</v>
      </c>
      <c r="K49" s="40" t="n">
        <v>254</v>
      </c>
      <c r="L49" s="40" t="n">
        <v>515.8</v>
      </c>
      <c r="M49" s="40" t="n">
        <v>0</v>
      </c>
      <c r="N49" s="40" t="n">
        <v>248.95</v>
      </c>
      <c r="O49" s="17" t="n">
        <f aca="false">SUM(G49:N49)</f>
        <v>2039.4</v>
      </c>
      <c r="P49" s="17" t="n">
        <f aca="false">AVERAGE(K49:M49)</f>
        <v>256.6</v>
      </c>
      <c r="Q49" s="17" t="n">
        <f aca="false">O49/7.6774</f>
        <v>265.636804126397</v>
      </c>
      <c r="R49" s="55" t="n">
        <f aca="false">IFERROR(AVERAGE(K49:M49)/AVERAGE(H49:J49),"")</f>
        <v>1.0095737704918</v>
      </c>
      <c r="S49" s="56" t="s">
        <v>253</v>
      </c>
      <c r="T49" s="18" t="n">
        <f aca="false">IF($S49="DROPPED",0,IF(OR($S49="ONE-TIME",$S49="PERIODIC"),$Q49,IF($S49="NEW",256.6,$P49)))</f>
        <v>256.6</v>
      </c>
      <c r="U49" s="40" t="n">
        <v>261.3</v>
      </c>
      <c r="V49" s="17" t="n">
        <f aca="false">IF($U49="","",$T49-$U49)</f>
        <v>-4.70000000000005</v>
      </c>
      <c r="W49" s="40"/>
      <c r="X49" s="7" t="s">
        <v>496</v>
      </c>
    </row>
    <row r="50" customFormat="false" ht="15" hidden="false" customHeight="false" outlineLevel="0" collapsed="false">
      <c r="A50" s="42" t="s">
        <v>410</v>
      </c>
      <c r="B50" s="42" t="s">
        <v>497</v>
      </c>
      <c r="C50" s="42" t="s">
        <v>465</v>
      </c>
      <c r="D50" s="42" t="s">
        <v>465</v>
      </c>
      <c r="E50" s="54"/>
      <c r="F50" s="42" t="s">
        <v>72</v>
      </c>
      <c r="G50" s="40" t="n">
        <v>0</v>
      </c>
      <c r="H50" s="40" t="n">
        <v>-2000</v>
      </c>
      <c r="I50" s="40" t="n">
        <v>0</v>
      </c>
      <c r="J50" s="40" t="n">
        <v>0</v>
      </c>
      <c r="K50" s="40" t="n">
        <v>0</v>
      </c>
      <c r="L50" s="40" t="n">
        <v>0</v>
      </c>
      <c r="M50" s="40" t="n">
        <v>0</v>
      </c>
      <c r="N50" s="40" t="n">
        <v>0</v>
      </c>
      <c r="O50" s="17" t="n">
        <f aca="false">SUM(G50:N50)</f>
        <v>-2000</v>
      </c>
      <c r="P50" s="17" t="n">
        <f aca="false">AVERAGE(K50:M50)</f>
        <v>0</v>
      </c>
      <c r="Q50" s="17" t="n">
        <f aca="false">O50/7.6774</f>
        <v>-260.50485841561</v>
      </c>
      <c r="R50" s="55" t="n">
        <f aca="false">IFERROR(AVERAGE(K50:M50)/AVERAGE(H50:J50),"")</f>
        <v>-0</v>
      </c>
      <c r="S50" s="60" t="s">
        <v>285</v>
      </c>
      <c r="T50" s="18" t="n">
        <f aca="false">IF($S50="DROPPED",0,IF(OR($S50="ONE-TIME",$S50="PERIODIC"),$Q50,IF($S50="NEW",-260.5,$P50)))</f>
        <v>-260.50485841561</v>
      </c>
      <c r="U50" s="40"/>
      <c r="V50" s="17" t="str">
        <f aca="false">IF($U50="","",$T50-$U50)</f>
        <v/>
      </c>
      <c r="W50" s="40"/>
      <c r="X50" s="7"/>
    </row>
    <row r="51" customFormat="false" ht="15" hidden="false" customHeight="false" outlineLevel="0" collapsed="false">
      <c r="A51" s="42" t="s">
        <v>324</v>
      </c>
      <c r="B51" s="42" t="s">
        <v>472</v>
      </c>
      <c r="C51" s="42" t="s">
        <v>465</v>
      </c>
      <c r="D51" s="42" t="s">
        <v>64</v>
      </c>
      <c r="E51" s="54"/>
      <c r="F51" s="42" t="s">
        <v>64</v>
      </c>
      <c r="G51" s="40" t="n">
        <v>206</v>
      </c>
      <c r="H51" s="40" t="n">
        <v>206</v>
      </c>
      <c r="I51" s="40" t="n">
        <v>325.47</v>
      </c>
      <c r="J51" s="40" t="n">
        <v>361.18</v>
      </c>
      <c r="K51" s="40" t="n">
        <v>206</v>
      </c>
      <c r="L51" s="40" t="n">
        <v>206</v>
      </c>
      <c r="M51" s="40" t="n">
        <v>206</v>
      </c>
      <c r="N51" s="40" t="n">
        <v>257.81</v>
      </c>
      <c r="O51" s="17" t="n">
        <f aca="false">SUM(G51:N51)</f>
        <v>1974.46</v>
      </c>
      <c r="P51" s="17" t="n">
        <f aca="false">AVERAGE(K51:M51)</f>
        <v>206</v>
      </c>
      <c r="Q51" s="17" t="n">
        <f aca="false">O51/7.6774</f>
        <v>257.178211373642</v>
      </c>
      <c r="R51" s="55" t="n">
        <f aca="false">IFERROR(AVERAGE(K51:M51)/AVERAGE(H51:J51),"")</f>
        <v>0.692320618383465</v>
      </c>
      <c r="S51" s="56" t="s">
        <v>253</v>
      </c>
      <c r="T51" s="18" t="n">
        <f aca="false">IF($S51="DROPPED",0,IF(OR($S51="ONE-TIME",$S51="PERIODIC"),$Q51,IF($S51="NEW",206,$P51)))</f>
        <v>206</v>
      </c>
      <c r="U51" s="40" t="n">
        <v>107.1</v>
      </c>
      <c r="V51" s="17" t="n">
        <f aca="false">IF($U51="","",$T51-$U51)</f>
        <v>98.9</v>
      </c>
      <c r="W51" s="40" t="n">
        <v>99.45</v>
      </c>
      <c r="X51" s="7" t="s">
        <v>498</v>
      </c>
    </row>
    <row r="52" customFormat="false" ht="15" hidden="false" customHeight="false" outlineLevel="0" collapsed="false">
      <c r="A52" s="42" t="s">
        <v>411</v>
      </c>
      <c r="B52" s="42" t="s">
        <v>490</v>
      </c>
      <c r="C52" s="42" t="s">
        <v>465</v>
      </c>
      <c r="D52" s="42" t="s">
        <v>465</v>
      </c>
      <c r="E52" s="54"/>
      <c r="F52" s="42" t="s">
        <v>72</v>
      </c>
      <c r="G52" s="40" t="n">
        <v>0</v>
      </c>
      <c r="H52" s="40" t="n">
        <v>0</v>
      </c>
      <c r="I52" s="40" t="n">
        <v>0</v>
      </c>
      <c r="J52" s="40" t="n">
        <v>1949.97</v>
      </c>
      <c r="K52" s="40" t="n">
        <v>0</v>
      </c>
      <c r="L52" s="40" t="n">
        <v>0</v>
      </c>
      <c r="M52" s="40" t="n">
        <v>0</v>
      </c>
      <c r="N52" s="40" t="n">
        <v>0</v>
      </c>
      <c r="O52" s="17" t="n">
        <f aca="false">SUM(G52:N52)</f>
        <v>1949.97</v>
      </c>
      <c r="P52" s="17" t="n">
        <f aca="false">AVERAGE(K52:M52)</f>
        <v>0</v>
      </c>
      <c r="Q52" s="17" t="n">
        <f aca="false">O52/7.6774</f>
        <v>253.988329382343</v>
      </c>
      <c r="R52" s="55" t="n">
        <f aca="false">IFERROR(AVERAGE(K52:M52)/AVERAGE(H52:J52),"")</f>
        <v>0</v>
      </c>
      <c r="S52" s="60" t="s">
        <v>285</v>
      </c>
      <c r="T52" s="18" t="n">
        <f aca="false">IF($S52="DROPPED",0,IF(OR($S52="ONE-TIME",$S52="PERIODIC"),$Q52,IF($S52="NEW",253.99,$P52)))</f>
        <v>253.988329382343</v>
      </c>
      <c r="U52" s="40"/>
      <c r="V52" s="17" t="str">
        <f aca="false">IF($U52="","",$T52-$U52)</f>
        <v/>
      </c>
      <c r="W52" s="40"/>
      <c r="X52" s="7"/>
    </row>
    <row r="53" customFormat="false" ht="15" hidden="false" customHeight="false" outlineLevel="0" collapsed="false">
      <c r="A53" s="42" t="s">
        <v>348</v>
      </c>
      <c r="B53" s="42" t="s">
        <v>472</v>
      </c>
      <c r="C53" s="42" t="s">
        <v>465</v>
      </c>
      <c r="D53" s="42" t="s">
        <v>67</v>
      </c>
      <c r="E53" s="54"/>
      <c r="F53" s="42" t="s">
        <v>67</v>
      </c>
      <c r="G53" s="40" t="n">
        <v>0</v>
      </c>
      <c r="H53" s="40" t="n">
        <v>1888.71</v>
      </c>
      <c r="I53" s="40" t="n">
        <v>0</v>
      </c>
      <c r="J53" s="40" t="n">
        <v>0</v>
      </c>
      <c r="K53" s="40" t="n">
        <v>0</v>
      </c>
      <c r="L53" s="40" t="n">
        <v>0</v>
      </c>
      <c r="M53" s="40" t="n">
        <v>0</v>
      </c>
      <c r="N53" s="40" t="n">
        <v>0</v>
      </c>
      <c r="O53" s="17" t="n">
        <f aca="false">SUM(G53:N53)</f>
        <v>1888.71</v>
      </c>
      <c r="P53" s="17" t="n">
        <f aca="false">AVERAGE(K53:M53)</f>
        <v>0</v>
      </c>
      <c r="Q53" s="17" t="n">
        <f aca="false">O53/7.6774</f>
        <v>246.009065569073</v>
      </c>
      <c r="R53" s="55" t="n">
        <f aca="false">IFERROR(AVERAGE(K53:M53)/AVERAGE(H53:J53),"")</f>
        <v>0</v>
      </c>
      <c r="S53" s="60" t="s">
        <v>285</v>
      </c>
      <c r="T53" s="18" t="n">
        <f aca="false">IF($S53="DROPPED",0,IF(OR($S53="ONE-TIME",$S53="PERIODIC"),$Q53,IF($S53="NEW",246.01,$P53)))</f>
        <v>246.009065569073</v>
      </c>
      <c r="U53" s="40" t="n">
        <v>83.73</v>
      </c>
      <c r="V53" s="17" t="n">
        <f aca="false">IF($U53="","",$T53-$U53)</f>
        <v>162.279065569073</v>
      </c>
      <c r="W53" s="40"/>
      <c r="X53" s="7"/>
    </row>
    <row r="54" customFormat="false" ht="15" hidden="false" customHeight="false" outlineLevel="0" collapsed="false">
      <c r="A54" s="42" t="s">
        <v>423</v>
      </c>
      <c r="B54" s="42" t="s">
        <v>477</v>
      </c>
      <c r="C54" s="42" t="s">
        <v>465</v>
      </c>
      <c r="D54" s="42" t="s">
        <v>465</v>
      </c>
      <c r="E54" s="54"/>
      <c r="F54" s="42" t="s">
        <v>72</v>
      </c>
      <c r="G54" s="40" t="n">
        <v>0</v>
      </c>
      <c r="H54" s="40" t="n">
        <v>0</v>
      </c>
      <c r="I54" s="40" t="n">
        <v>0</v>
      </c>
      <c r="J54" s="40" t="n">
        <v>0</v>
      </c>
      <c r="K54" s="40" t="n">
        <v>0</v>
      </c>
      <c r="L54" s="40" t="n">
        <v>80</v>
      </c>
      <c r="M54" s="40" t="n">
        <v>0</v>
      </c>
      <c r="N54" s="40" t="n">
        <v>1700</v>
      </c>
      <c r="O54" s="17" t="n">
        <f aca="false">SUM(G54:N54)</f>
        <v>1780</v>
      </c>
      <c r="P54" s="17" t="n">
        <f aca="false">AVERAGE(K54:M54)</f>
        <v>26.6666666666667</v>
      </c>
      <c r="Q54" s="17" t="n">
        <f aca="false">O54/7.6774</f>
        <v>231.849323989892</v>
      </c>
      <c r="R54" s="55" t="str">
        <f aca="false">IFERROR(AVERAGE(K54:M54)/AVERAGE(H54:J54),"")</f>
        <v/>
      </c>
      <c r="S54" s="63" t="s">
        <v>261</v>
      </c>
      <c r="T54" s="18" t="n">
        <f aca="false">IF($S54="DROPPED",0,IF(OR($S54="ONE-TIME",$S54="PERIODIC"),$Q54,IF($S54="NEW",40,$P54)))</f>
        <v>40</v>
      </c>
      <c r="U54" s="40"/>
      <c r="V54" s="17" t="str">
        <f aca="false">IF($U54="","",$T54-$U54)</f>
        <v/>
      </c>
      <c r="W54" s="40"/>
      <c r="X54" s="7"/>
    </row>
    <row r="55" customFormat="false" ht="15" hidden="false" customHeight="false" outlineLevel="0" collapsed="false">
      <c r="A55" s="42" t="s">
        <v>277</v>
      </c>
      <c r="B55" s="42" t="s">
        <v>474</v>
      </c>
      <c r="C55" s="42" t="s">
        <v>62</v>
      </c>
      <c r="D55" s="42" t="s">
        <v>62</v>
      </c>
      <c r="E55" s="54"/>
      <c r="F55" s="42" t="s">
        <v>62</v>
      </c>
      <c r="G55" s="40" t="n">
        <v>235</v>
      </c>
      <c r="H55" s="40" t="n">
        <v>0</v>
      </c>
      <c r="I55" s="40" t="n">
        <v>470</v>
      </c>
      <c r="J55" s="40" t="n">
        <v>0</v>
      </c>
      <c r="K55" s="40" t="n">
        <v>235</v>
      </c>
      <c r="L55" s="40" t="n">
        <v>250</v>
      </c>
      <c r="M55" s="40" t="n">
        <v>500</v>
      </c>
      <c r="N55" s="40" t="n">
        <v>0</v>
      </c>
      <c r="O55" s="17" t="n">
        <f aca="false">SUM(G55:N55)</f>
        <v>1690</v>
      </c>
      <c r="P55" s="17" t="n">
        <f aca="false">AVERAGE(K55:M55)</f>
        <v>328.333333333333</v>
      </c>
      <c r="Q55" s="17" t="n">
        <f aca="false">O55/7.6774</f>
        <v>220.12660536119</v>
      </c>
      <c r="R55" s="55" t="n">
        <f aca="false">IFERROR(AVERAGE(K55:M55)/AVERAGE(H55:J55),"")</f>
        <v>2.09574468085106</v>
      </c>
      <c r="S55" s="61" t="s">
        <v>278</v>
      </c>
      <c r="T55" s="18" t="n">
        <f aca="false">IF($S55="DROPPED",0,IF(OR($S55="ONE-TIME",$S55="PERIODIC"),$Q55,IF($S55="NEW",328.33,$P55)))</f>
        <v>328.333333333333</v>
      </c>
      <c r="U55" s="40" t="n">
        <v>235</v>
      </c>
      <c r="V55" s="17" t="n">
        <f aca="false">IF($U55="","",$T55-$U55)</f>
        <v>93.3333333333333</v>
      </c>
      <c r="W55" s="40"/>
      <c r="X55" s="7" t="s">
        <v>499</v>
      </c>
    </row>
    <row r="56" customFormat="false" ht="15" hidden="false" customHeight="false" outlineLevel="0" collapsed="false">
      <c r="A56" s="42" t="s">
        <v>279</v>
      </c>
      <c r="B56" s="42" t="s">
        <v>500</v>
      </c>
      <c r="C56" s="42" t="s">
        <v>62</v>
      </c>
      <c r="D56" s="42" t="s">
        <v>62</v>
      </c>
      <c r="E56" s="54"/>
      <c r="F56" s="42" t="s">
        <v>62</v>
      </c>
      <c r="G56" s="40" t="n">
        <v>236.19</v>
      </c>
      <c r="H56" s="40" t="n">
        <v>236.19</v>
      </c>
      <c r="I56" s="40" t="n">
        <v>236.19</v>
      </c>
      <c r="J56" s="40" t="n">
        <v>236.19</v>
      </c>
      <c r="K56" s="40" t="n">
        <v>236.19</v>
      </c>
      <c r="L56" s="40" t="n">
        <v>236.19</v>
      </c>
      <c r="M56" s="40" t="n">
        <v>236.19</v>
      </c>
      <c r="N56" s="40" t="n">
        <v>0</v>
      </c>
      <c r="O56" s="17" t="n">
        <f aca="false">SUM(G56:N56)</f>
        <v>1653.33</v>
      </c>
      <c r="P56" s="17" t="n">
        <f aca="false">AVERAGE(K56:M56)</f>
        <v>236.19</v>
      </c>
      <c r="Q56" s="17" t="n">
        <f aca="false">O56/7.6774</f>
        <v>215.35024878214</v>
      </c>
      <c r="R56" s="55" t="n">
        <f aca="false">IFERROR(AVERAGE(K56:M56)/AVERAGE(H56:J56),"")</f>
        <v>1</v>
      </c>
      <c r="S56" s="56" t="s">
        <v>253</v>
      </c>
      <c r="T56" s="18" t="n">
        <f aca="false">IF($S56="DROPPED",0,IF(OR($S56="ONE-TIME",$S56="PERIODIC"),$Q56,IF($S56="NEW",236.19,$P56)))</f>
        <v>236.19</v>
      </c>
      <c r="U56" s="40" t="n">
        <v>236.19</v>
      </c>
      <c r="V56" s="17" t="n">
        <f aca="false">IF($U56="","",$T56-$U56)</f>
        <v>0</v>
      </c>
      <c r="W56" s="40"/>
      <c r="X56" s="7" t="s">
        <v>501</v>
      </c>
    </row>
    <row r="57" customFormat="false" ht="15" hidden="false" customHeight="false" outlineLevel="0" collapsed="false">
      <c r="A57" s="42" t="s">
        <v>305</v>
      </c>
      <c r="B57" s="42" t="s">
        <v>472</v>
      </c>
      <c r="C57" s="42" t="s">
        <v>63</v>
      </c>
      <c r="D57" s="42" t="s">
        <v>465</v>
      </c>
      <c r="E57" s="54"/>
      <c r="F57" s="42" t="s">
        <v>63</v>
      </c>
      <c r="G57" s="40" t="n">
        <v>210</v>
      </c>
      <c r="H57" s="40" t="n">
        <v>241.63</v>
      </c>
      <c r="I57" s="40" t="n">
        <v>240</v>
      </c>
      <c r="J57" s="40" t="n">
        <v>180.68</v>
      </c>
      <c r="K57" s="40" t="n">
        <v>125</v>
      </c>
      <c r="L57" s="40" t="n">
        <v>246</v>
      </c>
      <c r="M57" s="40" t="n">
        <v>200</v>
      </c>
      <c r="N57" s="40" t="n">
        <v>200</v>
      </c>
      <c r="O57" s="17" t="n">
        <f aca="false">SUM(G57:N57)</f>
        <v>1643.31</v>
      </c>
      <c r="P57" s="17" t="n">
        <f aca="false">AVERAGE(K57:M57)</f>
        <v>190.333333333333</v>
      </c>
      <c r="Q57" s="17" t="n">
        <f aca="false">O57/7.6774</f>
        <v>214.045119441478</v>
      </c>
      <c r="R57" s="55" t="n">
        <f aca="false">IFERROR(AVERAGE(K57:M57)/AVERAGE(H57:J57),"")</f>
        <v>0.862134045990548</v>
      </c>
      <c r="S57" s="56" t="s">
        <v>253</v>
      </c>
      <c r="T57" s="18" t="n">
        <f aca="false">IF($S57="DROPPED",0,IF(OR($S57="ONE-TIME",$S57="PERIODIC"),$Q57,IF($S57="NEW",190.33,$P57)))</f>
        <v>190.333333333333</v>
      </c>
      <c r="U57" s="40"/>
      <c r="V57" s="17" t="str">
        <f aca="false">IF($U57="","",$T57-$U57)</f>
        <v/>
      </c>
      <c r="W57" s="40"/>
      <c r="X57" s="7"/>
    </row>
    <row r="58" customFormat="false" ht="15" hidden="false" customHeight="false" outlineLevel="0" collapsed="false">
      <c r="A58" s="42" t="s">
        <v>383</v>
      </c>
      <c r="B58" s="42" t="s">
        <v>493</v>
      </c>
      <c r="C58" s="42" t="s">
        <v>68</v>
      </c>
      <c r="D58" s="42" t="s">
        <v>68</v>
      </c>
      <c r="E58" s="54"/>
      <c r="F58" s="42" t="s">
        <v>68</v>
      </c>
      <c r="G58" s="40" t="n">
        <v>855.4</v>
      </c>
      <c r="H58" s="40" t="n">
        <v>0</v>
      </c>
      <c r="I58" s="40" t="n">
        <v>364</v>
      </c>
      <c r="J58" s="40" t="n">
        <v>182</v>
      </c>
      <c r="K58" s="40" t="n">
        <v>218.4</v>
      </c>
      <c r="L58" s="40" t="n">
        <v>91</v>
      </c>
      <c r="M58" s="40" t="n">
        <v>-91</v>
      </c>
      <c r="N58" s="40" t="n">
        <v>0</v>
      </c>
      <c r="O58" s="17" t="n">
        <f aca="false">SUM(G58:N58)</f>
        <v>1619.8</v>
      </c>
      <c r="P58" s="17" t="n">
        <f aca="false">AVERAGE(K58:M58)</f>
        <v>72.8</v>
      </c>
      <c r="Q58" s="17" t="n">
        <f aca="false">O58/7.6774</f>
        <v>210.982884830802</v>
      </c>
      <c r="R58" s="55" t="n">
        <f aca="false">IFERROR(AVERAGE(K58:M58)/AVERAGE(H58:J58),"")</f>
        <v>0.4</v>
      </c>
      <c r="S58" s="59" t="s">
        <v>384</v>
      </c>
      <c r="T58" s="18" t="n">
        <f aca="false">IF($S58="DROPPED",0,IF(OR($S58="ONE-TIME",$S58="PERIODIC"),$Q58,IF($S58="NEW",72.8,$P58)))</f>
        <v>72.8</v>
      </c>
      <c r="U58" s="40" t="n">
        <v>356</v>
      </c>
      <c r="V58" s="17" t="n">
        <f aca="false">IF($U58="","",$T58-$U58)</f>
        <v>-283.2</v>
      </c>
      <c r="W58" s="40"/>
      <c r="X58" s="7" t="s">
        <v>502</v>
      </c>
    </row>
    <row r="59" customFormat="false" ht="15" hidden="false" customHeight="false" outlineLevel="0" collapsed="false">
      <c r="A59" s="42" t="s">
        <v>378</v>
      </c>
      <c r="B59" s="42" t="s">
        <v>484</v>
      </c>
      <c r="C59" s="42" t="s">
        <v>68</v>
      </c>
      <c r="D59" s="42" t="s">
        <v>68</v>
      </c>
      <c r="E59" s="54"/>
      <c r="F59" s="42" t="s">
        <v>68</v>
      </c>
      <c r="G59" s="40" t="n">
        <v>348.61</v>
      </c>
      <c r="H59" s="40" t="n">
        <v>0</v>
      </c>
      <c r="I59" s="40" t="n">
        <v>337.49</v>
      </c>
      <c r="J59" s="40" t="n">
        <v>0</v>
      </c>
      <c r="K59" s="40" t="n">
        <v>381.97</v>
      </c>
      <c r="L59" s="40" t="n">
        <v>0</v>
      </c>
      <c r="M59" s="40" t="n">
        <v>381.97</v>
      </c>
      <c r="N59" s="40" t="n">
        <v>0</v>
      </c>
      <c r="O59" s="17" t="n">
        <f aca="false">SUM(G59:N59)</f>
        <v>1450.04</v>
      </c>
      <c r="P59" s="17" t="n">
        <f aca="false">AVERAGE(K59:M59)</f>
        <v>254.646666666667</v>
      </c>
      <c r="Q59" s="17" t="n">
        <f aca="false">O59/7.6774</f>
        <v>188.871232448485</v>
      </c>
      <c r="R59" s="55" t="n">
        <f aca="false">IFERROR(AVERAGE(K59:M59)/AVERAGE(H59:J59),"")</f>
        <v>2.26359299534801</v>
      </c>
      <c r="S59" s="62" t="s">
        <v>291</v>
      </c>
      <c r="T59" s="18" t="n">
        <f aca="false">IF($S59="DROPPED",0,IF(OR($S59="ONE-TIME",$S59="PERIODIC"),$Q59,IF($S59="NEW",188.87,$P59)))</f>
        <v>188.871232448485</v>
      </c>
      <c r="U59" s="40" t="n">
        <v>243.15</v>
      </c>
      <c r="V59" s="17" t="n">
        <f aca="false">IF($U59="","",$T59-$U59)</f>
        <v>-54.2787675515148</v>
      </c>
      <c r="W59" s="40"/>
      <c r="X59" s="7" t="s">
        <v>503</v>
      </c>
    </row>
    <row r="60" customFormat="false" ht="15" hidden="false" customHeight="false" outlineLevel="0" collapsed="false">
      <c r="A60" s="42" t="s">
        <v>390</v>
      </c>
      <c r="B60" s="42" t="s">
        <v>472</v>
      </c>
      <c r="C60" s="42" t="s">
        <v>69</v>
      </c>
      <c r="D60" s="42" t="s">
        <v>465</v>
      </c>
      <c r="E60" s="54"/>
      <c r="F60" s="42" t="s">
        <v>69</v>
      </c>
      <c r="G60" s="40" t="n">
        <v>0</v>
      </c>
      <c r="H60" s="40" t="n">
        <v>0</v>
      </c>
      <c r="I60" s="40" t="n">
        <v>0</v>
      </c>
      <c r="J60" s="40" t="n">
        <v>0</v>
      </c>
      <c r="K60" s="40" t="n">
        <v>0</v>
      </c>
      <c r="L60" s="40" t="n">
        <v>1271.22</v>
      </c>
      <c r="M60" s="40" t="n">
        <v>0</v>
      </c>
      <c r="N60" s="40" t="n">
        <v>0</v>
      </c>
      <c r="O60" s="17" t="n">
        <f aca="false">SUM(G60:N60)</f>
        <v>1271.22</v>
      </c>
      <c r="P60" s="17" t="n">
        <f aca="false">AVERAGE(K60:M60)</f>
        <v>423.74</v>
      </c>
      <c r="Q60" s="17" t="n">
        <f aca="false">O60/7.6774</f>
        <v>165.579493057546</v>
      </c>
      <c r="R60" s="55" t="str">
        <f aca="false">IFERROR(AVERAGE(K60:M60)/AVERAGE(H60:J60),"")</f>
        <v/>
      </c>
      <c r="S60" s="63" t="s">
        <v>261</v>
      </c>
      <c r="T60" s="18" t="n">
        <f aca="false">IF($S60="DROPPED",0,IF(OR($S60="ONE-TIME",$S60="PERIODIC"),$Q60,IF($S60="NEW",635.61,$P60)))</f>
        <v>635.61</v>
      </c>
      <c r="U60" s="40"/>
      <c r="V60" s="17" t="str">
        <f aca="false">IF($U60="","",$T60-$U60)</f>
        <v/>
      </c>
      <c r="W60" s="40"/>
      <c r="X60" s="7"/>
    </row>
    <row r="61" customFormat="false" ht="15" hidden="false" customHeight="false" outlineLevel="0" collapsed="false">
      <c r="A61" s="42" t="s">
        <v>306</v>
      </c>
      <c r="B61" s="42" t="s">
        <v>484</v>
      </c>
      <c r="C61" s="42" t="s">
        <v>68</v>
      </c>
      <c r="D61" s="42" t="s">
        <v>63</v>
      </c>
      <c r="E61" s="57" t="s">
        <v>464</v>
      </c>
      <c r="F61" s="42" t="s">
        <v>63</v>
      </c>
      <c r="G61" s="40" t="n">
        <v>121.42</v>
      </c>
      <c r="H61" s="40" t="n">
        <v>130.35</v>
      </c>
      <c r="I61" s="40" t="n">
        <v>132.91</v>
      </c>
      <c r="J61" s="40" t="n">
        <v>139.75</v>
      </c>
      <c r="K61" s="40" t="n">
        <v>132.02</v>
      </c>
      <c r="L61" s="40" t="n">
        <v>157.63</v>
      </c>
      <c r="M61" s="40" t="n">
        <v>204.35</v>
      </c>
      <c r="N61" s="40" t="n">
        <v>207.66</v>
      </c>
      <c r="O61" s="17" t="n">
        <f aca="false">SUM(G61:N61)</f>
        <v>1226.09</v>
      </c>
      <c r="P61" s="17" t="n">
        <f aca="false">AVERAGE(K61:M61)</f>
        <v>164.666666666667</v>
      </c>
      <c r="Q61" s="17" t="n">
        <f aca="false">O61/7.6774</f>
        <v>159.701200927397</v>
      </c>
      <c r="R61" s="55" t="n">
        <f aca="false">IFERROR(AVERAGE(K61:M61)/AVERAGE(H61:J61),"")</f>
        <v>1.22577603533411</v>
      </c>
      <c r="S61" s="56" t="s">
        <v>253</v>
      </c>
      <c r="T61" s="18" t="n">
        <f aca="false">IF($S61="DROPPED",0,IF(OR($S61="ONE-TIME",$S61="PERIODIC"),$Q61,IF($S61="NEW",164.67,$P61)))</f>
        <v>164.666666666667</v>
      </c>
      <c r="U61" s="40" t="n">
        <v>89.2</v>
      </c>
      <c r="V61" s="17" t="n">
        <f aca="false">IF($U61="","",$T61-$U61)</f>
        <v>75.4666666666667</v>
      </c>
      <c r="W61" s="40"/>
      <c r="X61" s="7"/>
    </row>
    <row r="62" customFormat="false" ht="15" hidden="false" customHeight="false" outlineLevel="0" collapsed="false">
      <c r="A62" s="42" t="s">
        <v>369</v>
      </c>
      <c r="B62" s="42" t="s">
        <v>493</v>
      </c>
      <c r="C62" s="42" t="s">
        <v>68</v>
      </c>
      <c r="D62" s="42" t="s">
        <v>465</v>
      </c>
      <c r="E62" s="54"/>
      <c r="F62" s="42" t="s">
        <v>68</v>
      </c>
      <c r="G62" s="40" t="n">
        <v>0</v>
      </c>
      <c r="H62" s="40" t="n">
        <v>0</v>
      </c>
      <c r="I62" s="40" t="n">
        <v>0</v>
      </c>
      <c r="J62" s="40" t="n">
        <v>0</v>
      </c>
      <c r="K62" s="40" t="n">
        <v>0</v>
      </c>
      <c r="L62" s="40" t="n">
        <v>0</v>
      </c>
      <c r="M62" s="40" t="n">
        <v>0</v>
      </c>
      <c r="N62" s="40" t="n">
        <v>1203.22</v>
      </c>
      <c r="O62" s="17" t="n">
        <f aca="false">SUM(G62:N62)</f>
        <v>1203.22</v>
      </c>
      <c r="P62" s="17" t="n">
        <f aca="false">AVERAGE(K62:M62)</f>
        <v>0</v>
      </c>
      <c r="Q62" s="17" t="n">
        <f aca="false">O62/7.6774</f>
        <v>156.722327871415</v>
      </c>
      <c r="R62" s="55" t="str">
        <f aca="false">IFERROR(AVERAGE(K62:M62)/AVERAGE(H62:J62),"")</f>
        <v/>
      </c>
      <c r="S62" s="63" t="s">
        <v>261</v>
      </c>
      <c r="T62" s="18" t="n">
        <f aca="false">IF($S62="DROPPED",0,IF(OR($S62="ONE-TIME",$S62="PERIODIC"),$Q62,IF($S62="NEW",1776.18,$P62)))</f>
        <v>1776.18</v>
      </c>
      <c r="U62" s="40"/>
      <c r="V62" s="17" t="str">
        <f aca="false">IF($U62="","",$T62-$U62)</f>
        <v/>
      </c>
      <c r="W62" s="40"/>
      <c r="X62" s="7"/>
    </row>
    <row r="63" customFormat="false" ht="15" hidden="false" customHeight="false" outlineLevel="0" collapsed="false">
      <c r="A63" s="42" t="s">
        <v>364</v>
      </c>
      <c r="B63" s="42" t="s">
        <v>472</v>
      </c>
      <c r="C63" s="42" t="s">
        <v>71</v>
      </c>
      <c r="D63" s="42" t="s">
        <v>67</v>
      </c>
      <c r="E63" s="57" t="s">
        <v>464</v>
      </c>
      <c r="F63" s="42" t="s">
        <v>67</v>
      </c>
      <c r="G63" s="40" t="n">
        <v>16.47</v>
      </c>
      <c r="H63" s="40" t="n">
        <v>28.35</v>
      </c>
      <c r="I63" s="40" t="n">
        <v>497.07</v>
      </c>
      <c r="J63" s="40" t="n">
        <v>129.87</v>
      </c>
      <c r="K63" s="40" t="n">
        <v>221.4</v>
      </c>
      <c r="L63" s="40" t="n">
        <v>59.67</v>
      </c>
      <c r="M63" s="40" t="n">
        <v>216.54</v>
      </c>
      <c r="N63" s="40" t="n">
        <v>0</v>
      </c>
      <c r="O63" s="17" t="n">
        <f aca="false">SUM(G63:N63)</f>
        <v>1169.37</v>
      </c>
      <c r="P63" s="17" t="n">
        <f aca="false">AVERAGE(K63:M63)</f>
        <v>165.87</v>
      </c>
      <c r="Q63" s="17" t="n">
        <f aca="false">O63/7.6774</f>
        <v>152.313283142731</v>
      </c>
      <c r="R63" s="55" t="n">
        <f aca="false">IFERROR(AVERAGE(K63:M63)/AVERAGE(H63:J63),"")</f>
        <v>0.759373712402143</v>
      </c>
      <c r="S63" s="56" t="s">
        <v>253</v>
      </c>
      <c r="T63" s="18" t="n">
        <f aca="false">IF($S63="DROPPED",0,IF(OR($S63="ONE-TIME",$S63="PERIODIC"),$Q63,IF($S63="NEW",165.87,$P63)))</f>
        <v>165.87</v>
      </c>
      <c r="U63" s="40" t="n">
        <v>571.5</v>
      </c>
      <c r="V63" s="17" t="n">
        <f aca="false">IF($U63="","",$T63-$U63)</f>
        <v>-405.63</v>
      </c>
      <c r="W63" s="40" t="n">
        <v>558.8</v>
      </c>
      <c r="X63" s="7" t="s">
        <v>504</v>
      </c>
    </row>
    <row r="64" customFormat="false" ht="15" hidden="false" customHeight="false" outlineLevel="0" collapsed="false">
      <c r="A64" s="42" t="s">
        <v>414</v>
      </c>
      <c r="B64" s="42" t="s">
        <v>497</v>
      </c>
      <c r="C64" s="42" t="s">
        <v>465</v>
      </c>
      <c r="D64" s="42" t="s">
        <v>465</v>
      </c>
      <c r="E64" s="54"/>
      <c r="F64" s="42" t="s">
        <v>72</v>
      </c>
      <c r="G64" s="40" t="n">
        <v>0</v>
      </c>
      <c r="H64" s="40" t="n">
        <v>0</v>
      </c>
      <c r="I64" s="40" t="n">
        <v>1148.41</v>
      </c>
      <c r="J64" s="40" t="n">
        <v>0</v>
      </c>
      <c r="K64" s="40" t="n">
        <v>0</v>
      </c>
      <c r="L64" s="40" t="n">
        <v>0</v>
      </c>
      <c r="M64" s="40" t="n">
        <v>0</v>
      </c>
      <c r="N64" s="40" t="n">
        <v>0</v>
      </c>
      <c r="O64" s="17" t="n">
        <f aca="false">SUM(G64:N64)</f>
        <v>1148.41</v>
      </c>
      <c r="P64" s="17" t="n">
        <f aca="false">AVERAGE(K64:M64)</f>
        <v>0</v>
      </c>
      <c r="Q64" s="17" t="n">
        <f aca="false">O64/7.6774</f>
        <v>149.583192226535</v>
      </c>
      <c r="R64" s="55" t="n">
        <f aca="false">IFERROR(AVERAGE(K64:M64)/AVERAGE(H64:J64),"")</f>
        <v>0</v>
      </c>
      <c r="S64" s="60" t="s">
        <v>285</v>
      </c>
      <c r="T64" s="18" t="n">
        <f aca="false">IF($S64="DROPPED",0,IF(OR($S64="ONE-TIME",$S64="PERIODIC"),$Q64,IF($S64="NEW",149.58,$P64)))</f>
        <v>149.583192226535</v>
      </c>
      <c r="U64" s="40"/>
      <c r="V64" s="17" t="str">
        <f aca="false">IF($U64="","",$T64-$U64)</f>
        <v/>
      </c>
      <c r="W64" s="40"/>
      <c r="X64" s="7"/>
    </row>
    <row r="65" customFormat="false" ht="15" hidden="false" customHeight="false" outlineLevel="0" collapsed="false">
      <c r="A65" s="42" t="s">
        <v>376</v>
      </c>
      <c r="B65" s="42" t="s">
        <v>493</v>
      </c>
      <c r="C65" s="42" t="s">
        <v>68</v>
      </c>
      <c r="D65" s="42" t="s">
        <v>68</v>
      </c>
      <c r="E65" s="54"/>
      <c r="F65" s="42" t="s">
        <v>68</v>
      </c>
      <c r="G65" s="40" t="n">
        <v>92</v>
      </c>
      <c r="H65" s="40" t="n">
        <v>92</v>
      </c>
      <c r="I65" s="40" t="n">
        <v>92</v>
      </c>
      <c r="J65" s="40" t="n">
        <v>92</v>
      </c>
      <c r="K65" s="40" t="n">
        <v>492</v>
      </c>
      <c r="L65" s="40" t="n">
        <v>92</v>
      </c>
      <c r="M65" s="40" t="n">
        <v>92</v>
      </c>
      <c r="N65" s="40" t="n">
        <v>92</v>
      </c>
      <c r="O65" s="17" t="n">
        <f aca="false">SUM(G65:N65)</f>
        <v>1136</v>
      </c>
      <c r="P65" s="17" t="n">
        <f aca="false">AVERAGE(K65:M65)</f>
        <v>225.333333333333</v>
      </c>
      <c r="Q65" s="17" t="n">
        <f aca="false">O65/7.6774</f>
        <v>147.966759580066</v>
      </c>
      <c r="R65" s="55" t="n">
        <f aca="false">IFERROR(AVERAGE(K65:M65)/AVERAGE(H65:J65),"")</f>
        <v>2.44927536231884</v>
      </c>
      <c r="S65" s="56" t="s">
        <v>253</v>
      </c>
      <c r="T65" s="18" t="n">
        <f aca="false">IF($S65="DROPPED",0,IF(OR($S65="ONE-TIME",$S65="PERIODIC"),$Q65,IF($S65="NEW",225.33,$P65)))</f>
        <v>225.333333333333</v>
      </c>
      <c r="U65" s="40" t="n">
        <v>92</v>
      </c>
      <c r="V65" s="17" t="n">
        <f aca="false">IF($U65="","",$T65-$U65)</f>
        <v>133.333333333333</v>
      </c>
      <c r="W65" s="40"/>
      <c r="X65" s="7" t="s">
        <v>505</v>
      </c>
    </row>
    <row r="66" customFormat="false" ht="15" hidden="false" customHeight="false" outlineLevel="0" collapsed="false">
      <c r="A66" s="42" t="s">
        <v>352</v>
      </c>
      <c r="B66" s="42" t="s">
        <v>506</v>
      </c>
      <c r="C66" s="42" t="s">
        <v>71</v>
      </c>
      <c r="D66" s="42" t="s">
        <v>67</v>
      </c>
      <c r="E66" s="57" t="s">
        <v>464</v>
      </c>
      <c r="F66" s="42" t="s">
        <v>67</v>
      </c>
      <c r="G66" s="40" t="n">
        <v>0</v>
      </c>
      <c r="H66" s="40" t="n">
        <v>379.5</v>
      </c>
      <c r="I66" s="40" t="n">
        <v>0</v>
      </c>
      <c r="J66" s="40" t="n">
        <v>0</v>
      </c>
      <c r="K66" s="40" t="n">
        <v>0</v>
      </c>
      <c r="L66" s="40" t="n">
        <v>92.08</v>
      </c>
      <c r="M66" s="40" t="n">
        <v>0</v>
      </c>
      <c r="N66" s="40" t="n">
        <v>629.76</v>
      </c>
      <c r="O66" s="17" t="n">
        <f aca="false">SUM(G66:N66)</f>
        <v>1101.34</v>
      </c>
      <c r="P66" s="17" t="n">
        <f aca="false">AVERAGE(K66:M66)</f>
        <v>30.6933333333333</v>
      </c>
      <c r="Q66" s="17" t="n">
        <f aca="false">O66/7.6774</f>
        <v>143.452210383724</v>
      </c>
      <c r="R66" s="55" t="n">
        <f aca="false">IFERROR(AVERAGE(K66:M66)/AVERAGE(H66:J66),"")</f>
        <v>0.242635046113307</v>
      </c>
      <c r="S66" s="62" t="s">
        <v>291</v>
      </c>
      <c r="T66" s="18" t="n">
        <f aca="false">IF($S66="DROPPED",0,IF(OR($S66="ONE-TIME",$S66="PERIODIC"),$Q66,IF($S66="NEW",143.45,$P66)))</f>
        <v>143.452210383724</v>
      </c>
      <c r="U66" s="40" t="n">
        <v>184.77</v>
      </c>
      <c r="V66" s="17" t="n">
        <f aca="false">IF($U66="","",$T66-$U66)</f>
        <v>-41.3177896162763</v>
      </c>
      <c r="W66" s="40"/>
      <c r="X66" s="7"/>
    </row>
    <row r="67" customFormat="false" ht="15" hidden="false" customHeight="false" outlineLevel="0" collapsed="false">
      <c r="A67" s="42" t="s">
        <v>307</v>
      </c>
      <c r="B67" s="42" t="s">
        <v>472</v>
      </c>
      <c r="C67" s="42" t="s">
        <v>63</v>
      </c>
      <c r="D67" s="42" t="s">
        <v>63</v>
      </c>
      <c r="E67" s="54"/>
      <c r="F67" s="42" t="s">
        <v>63</v>
      </c>
      <c r="G67" s="40" t="n">
        <v>98</v>
      </c>
      <c r="H67" s="40" t="n">
        <v>98</v>
      </c>
      <c r="I67" s="40" t="n">
        <v>114.42</v>
      </c>
      <c r="J67" s="40" t="n">
        <v>122</v>
      </c>
      <c r="K67" s="40" t="n">
        <v>122</v>
      </c>
      <c r="L67" s="40" t="n">
        <v>122</v>
      </c>
      <c r="M67" s="40" t="n">
        <v>122</v>
      </c>
      <c r="N67" s="40" t="n">
        <v>122</v>
      </c>
      <c r="O67" s="17" t="n">
        <f aca="false">SUM(G67:N67)</f>
        <v>920.42</v>
      </c>
      <c r="P67" s="17" t="n">
        <f aca="false">AVERAGE(K67:M67)</f>
        <v>122</v>
      </c>
      <c r="Q67" s="17" t="n">
        <f aca="false">O67/7.6774</f>
        <v>119.886940891448</v>
      </c>
      <c r="R67" s="55" t="n">
        <f aca="false">IFERROR(AVERAGE(K67:M67)/AVERAGE(H67:J67),"")</f>
        <v>1.09443215118713</v>
      </c>
      <c r="S67" s="56" t="s">
        <v>253</v>
      </c>
      <c r="T67" s="18" t="n">
        <f aca="false">IF($S67="DROPPED",0,IF(OR($S67="ONE-TIME",$S67="PERIODIC"),$Q67,IF($S67="NEW",122,$P67)))</f>
        <v>122</v>
      </c>
      <c r="U67" s="40" t="n">
        <v>98</v>
      </c>
      <c r="V67" s="17" t="n">
        <f aca="false">IF($U67="","",$T67-$U67)</f>
        <v>24</v>
      </c>
      <c r="W67" s="40"/>
      <c r="X67" s="7"/>
    </row>
    <row r="68" customFormat="false" ht="15" hidden="false" customHeight="false" outlineLevel="0" collapsed="false">
      <c r="A68" s="42" t="s">
        <v>308</v>
      </c>
      <c r="B68" s="42" t="s">
        <v>472</v>
      </c>
      <c r="C68" s="42" t="s">
        <v>63</v>
      </c>
      <c r="D68" s="42" t="s">
        <v>63</v>
      </c>
      <c r="E68" s="54"/>
      <c r="F68" s="42" t="s">
        <v>63</v>
      </c>
      <c r="G68" s="40" t="n">
        <v>120</v>
      </c>
      <c r="H68" s="40" t="n">
        <v>120</v>
      </c>
      <c r="I68" s="40" t="n">
        <v>120</v>
      </c>
      <c r="J68" s="40" t="n">
        <v>120</v>
      </c>
      <c r="K68" s="40" t="n">
        <v>120</v>
      </c>
      <c r="L68" s="40" t="n">
        <v>120</v>
      </c>
      <c r="M68" s="40" t="n">
        <v>120</v>
      </c>
      <c r="N68" s="40" t="n">
        <v>0</v>
      </c>
      <c r="O68" s="17" t="n">
        <f aca="false">SUM(G68:N68)</f>
        <v>840</v>
      </c>
      <c r="P68" s="17" t="n">
        <f aca="false">AVERAGE(K68:M68)</f>
        <v>120</v>
      </c>
      <c r="Q68" s="17" t="n">
        <f aca="false">O68/7.6774</f>
        <v>109.412040534556</v>
      </c>
      <c r="R68" s="55" t="n">
        <f aca="false">IFERROR(AVERAGE(K68:M68)/AVERAGE(H68:J68),"")</f>
        <v>1</v>
      </c>
      <c r="S68" s="56" t="s">
        <v>253</v>
      </c>
      <c r="T68" s="18" t="n">
        <f aca="false">IF($S68="DROPPED",0,IF(OR($S68="ONE-TIME",$S68="PERIODIC"),$Q68,IF($S68="NEW",120,$P68)))</f>
        <v>120</v>
      </c>
      <c r="U68" s="40" t="n">
        <v>120</v>
      </c>
      <c r="V68" s="17" t="n">
        <f aca="false">IF($U68="","",$T68-$U68)</f>
        <v>0</v>
      </c>
      <c r="W68" s="40"/>
      <c r="X68" s="7"/>
    </row>
    <row r="69" customFormat="false" ht="15" hidden="false" customHeight="false" outlineLevel="0" collapsed="false">
      <c r="A69" s="42" t="s">
        <v>309</v>
      </c>
      <c r="B69" s="42" t="s">
        <v>472</v>
      </c>
      <c r="C69" s="42" t="s">
        <v>63</v>
      </c>
      <c r="D69" s="42" t="s">
        <v>63</v>
      </c>
      <c r="E69" s="54"/>
      <c r="F69" s="42" t="s">
        <v>63</v>
      </c>
      <c r="G69" s="40" t="n">
        <v>84</v>
      </c>
      <c r="H69" s="40" t="n">
        <v>121.4</v>
      </c>
      <c r="I69" s="40" t="n">
        <v>105</v>
      </c>
      <c r="J69" s="40" t="n">
        <v>105</v>
      </c>
      <c r="K69" s="40" t="n">
        <v>105</v>
      </c>
      <c r="L69" s="40" t="n">
        <v>105</v>
      </c>
      <c r="M69" s="40" t="n">
        <v>105</v>
      </c>
      <c r="N69" s="40" t="n">
        <v>105</v>
      </c>
      <c r="O69" s="17" t="n">
        <f aca="false">SUM(G69:N69)</f>
        <v>835.4</v>
      </c>
      <c r="P69" s="17" t="n">
        <f aca="false">AVERAGE(K69:M69)</f>
        <v>105</v>
      </c>
      <c r="Q69" s="17" t="n">
        <f aca="false">O69/7.6774</f>
        <v>108.8128793602</v>
      </c>
      <c r="R69" s="55" t="n">
        <f aca="false">IFERROR(AVERAGE(K69:M69)/AVERAGE(H69:J69),"")</f>
        <v>0.950512975256488</v>
      </c>
      <c r="S69" s="56" t="s">
        <v>253</v>
      </c>
      <c r="T69" s="18" t="n">
        <f aca="false">IF($S69="DROPPED",0,IF(OR($S69="ONE-TIME",$S69="PERIODIC"),$Q69,IF($S69="NEW",105,$P69)))</f>
        <v>105</v>
      </c>
      <c r="U69" s="40" t="n">
        <v>84</v>
      </c>
      <c r="V69" s="17" t="n">
        <f aca="false">IF($U69="","",$T69-$U69)</f>
        <v>21</v>
      </c>
      <c r="W69" s="40"/>
      <c r="X69" s="7"/>
    </row>
    <row r="70" customFormat="false" ht="15" hidden="false" customHeight="false" outlineLevel="0" collapsed="false">
      <c r="A70" s="42" t="s">
        <v>415</v>
      </c>
      <c r="B70" s="42" t="s">
        <v>487</v>
      </c>
      <c r="C70" s="42" t="s">
        <v>465</v>
      </c>
      <c r="D70" s="42" t="s">
        <v>465</v>
      </c>
      <c r="E70" s="54"/>
      <c r="F70" s="42" t="s">
        <v>72</v>
      </c>
      <c r="G70" s="40" t="n">
        <v>0</v>
      </c>
      <c r="H70" s="40" t="n">
        <v>0</v>
      </c>
      <c r="I70" s="40" t="n">
        <v>800</v>
      </c>
      <c r="J70" s="40" t="n">
        <v>0</v>
      </c>
      <c r="K70" s="40" t="n">
        <v>0</v>
      </c>
      <c r="L70" s="40" t="n">
        <v>0</v>
      </c>
      <c r="M70" s="40" t="n">
        <v>0</v>
      </c>
      <c r="N70" s="40" t="n">
        <v>0</v>
      </c>
      <c r="O70" s="17" t="n">
        <f aca="false">SUM(G70:N70)</f>
        <v>800</v>
      </c>
      <c r="P70" s="17" t="n">
        <f aca="false">AVERAGE(K70:M70)</f>
        <v>0</v>
      </c>
      <c r="Q70" s="17" t="n">
        <f aca="false">O70/7.6774</f>
        <v>104.201943366244</v>
      </c>
      <c r="R70" s="55" t="n">
        <f aca="false">IFERROR(AVERAGE(K70:M70)/AVERAGE(H70:J70),"")</f>
        <v>0</v>
      </c>
      <c r="S70" s="60" t="s">
        <v>285</v>
      </c>
      <c r="T70" s="18" t="n">
        <f aca="false">IF($S70="DROPPED",0,IF(OR($S70="ONE-TIME",$S70="PERIODIC"),$Q70,IF($S70="NEW",104.2,$P70)))</f>
        <v>104.201943366244</v>
      </c>
      <c r="U70" s="40"/>
      <c r="V70" s="17" t="str">
        <f aca="false">IF($U70="","",$T70-$U70)</f>
        <v/>
      </c>
      <c r="W70" s="40"/>
      <c r="X70" s="7"/>
    </row>
    <row r="71" customFormat="false" ht="15" hidden="false" customHeight="false" outlineLevel="0" collapsed="false">
      <c r="A71" s="42" t="s">
        <v>380</v>
      </c>
      <c r="B71" s="42" t="s">
        <v>468</v>
      </c>
      <c r="C71" s="42" t="s">
        <v>465</v>
      </c>
      <c r="D71" s="42" t="s">
        <v>68</v>
      </c>
      <c r="E71" s="54"/>
      <c r="F71" s="42" t="s">
        <v>68</v>
      </c>
      <c r="G71" s="40" t="n">
        <v>100</v>
      </c>
      <c r="H71" s="40" t="n">
        <v>100</v>
      </c>
      <c r="I71" s="40" t="n">
        <v>100</v>
      </c>
      <c r="J71" s="40" t="n">
        <v>100</v>
      </c>
      <c r="K71" s="40" t="n">
        <v>100</v>
      </c>
      <c r="L71" s="40" t="n">
        <v>100</v>
      </c>
      <c r="M71" s="40" t="n">
        <v>100</v>
      </c>
      <c r="N71" s="40" t="n">
        <v>100</v>
      </c>
      <c r="O71" s="17" t="n">
        <f aca="false">SUM(G71:N71)</f>
        <v>800</v>
      </c>
      <c r="P71" s="17" t="n">
        <f aca="false">AVERAGE(K71:M71)</f>
        <v>100</v>
      </c>
      <c r="Q71" s="17" t="n">
        <f aca="false">O71/7.6774</f>
        <v>104.201943366244</v>
      </c>
      <c r="R71" s="55" t="n">
        <f aca="false">IFERROR(AVERAGE(K71:M71)/AVERAGE(H71:J71),"")</f>
        <v>1</v>
      </c>
      <c r="S71" s="56" t="s">
        <v>253</v>
      </c>
      <c r="T71" s="18" t="n">
        <f aca="false">IF($S71="DROPPED",0,IF(OR($S71="ONE-TIME",$S71="PERIODIC"),$Q71,IF($S71="NEW",100,$P71)))</f>
        <v>100</v>
      </c>
      <c r="U71" s="40" t="n">
        <v>100</v>
      </c>
      <c r="V71" s="17" t="n">
        <f aca="false">IF($U71="","",$T71-$U71)</f>
        <v>0</v>
      </c>
      <c r="W71" s="40"/>
      <c r="X71" s="7"/>
    </row>
    <row r="72" customFormat="false" ht="15" hidden="false" customHeight="false" outlineLevel="0" collapsed="false">
      <c r="A72" s="42" t="s">
        <v>296</v>
      </c>
      <c r="B72" s="42" t="s">
        <v>474</v>
      </c>
      <c r="C72" s="42" t="s">
        <v>62</v>
      </c>
      <c r="D72" s="42" t="s">
        <v>465</v>
      </c>
      <c r="E72" s="54"/>
      <c r="F72" s="42" t="s">
        <v>62</v>
      </c>
      <c r="G72" s="40" t="n">
        <v>192</v>
      </c>
      <c r="H72" s="40" t="n">
        <v>192</v>
      </c>
      <c r="I72" s="40" t="n">
        <v>192</v>
      </c>
      <c r="J72" s="40" t="n">
        <v>192</v>
      </c>
      <c r="K72" s="40" t="n">
        <v>0</v>
      </c>
      <c r="L72" s="40" t="n">
        <v>0</v>
      </c>
      <c r="M72" s="40" t="n">
        <v>0</v>
      </c>
      <c r="N72" s="40" t="n">
        <v>0</v>
      </c>
      <c r="O72" s="17" t="n">
        <f aca="false">SUM(G72:N72)</f>
        <v>768</v>
      </c>
      <c r="P72" s="17" t="n">
        <f aca="false">AVERAGE(K72:M72)</f>
        <v>0</v>
      </c>
      <c r="Q72" s="17" t="n">
        <f aca="false">O72/7.6774</f>
        <v>100.033865631594</v>
      </c>
      <c r="R72" s="55" t="n">
        <f aca="false">IFERROR(AVERAGE(K72:M72)/AVERAGE(H72:J72),"")</f>
        <v>0</v>
      </c>
      <c r="S72" s="58" t="s">
        <v>297</v>
      </c>
      <c r="T72" s="18" t="n">
        <f aca="false">IF($S72="DROPPED",0,IF(OR($S72="ONE-TIME",$S72="PERIODIC"),$Q72,IF($S72="NEW",0,$P72)))</f>
        <v>0</v>
      </c>
      <c r="U72" s="40"/>
      <c r="V72" s="17" t="str">
        <f aca="false">IF($U72="","",$T72-$U72)</f>
        <v/>
      </c>
      <c r="W72" s="40"/>
      <c r="X72" s="7"/>
    </row>
    <row r="73" customFormat="false" ht="15" hidden="false" customHeight="false" outlineLevel="0" collapsed="false">
      <c r="A73" s="42" t="s">
        <v>353</v>
      </c>
      <c r="B73" s="42" t="s">
        <v>472</v>
      </c>
      <c r="C73" s="42" t="s">
        <v>71</v>
      </c>
      <c r="D73" s="42" t="s">
        <v>67</v>
      </c>
      <c r="E73" s="57" t="s">
        <v>464</v>
      </c>
      <c r="F73" s="42" t="s">
        <v>67</v>
      </c>
      <c r="G73" s="40" t="n">
        <v>109.25</v>
      </c>
      <c r="H73" s="40" t="n">
        <v>109.25</v>
      </c>
      <c r="I73" s="40" t="n">
        <v>109.25</v>
      </c>
      <c r="J73" s="40" t="n">
        <v>107.37</v>
      </c>
      <c r="K73" s="40" t="n">
        <v>109.25</v>
      </c>
      <c r="L73" s="40" t="n">
        <v>109.25</v>
      </c>
      <c r="M73" s="40" t="n">
        <v>109.25</v>
      </c>
      <c r="N73" s="40" t="n">
        <v>0</v>
      </c>
      <c r="O73" s="17" t="n">
        <f aca="false">SUM(G73:N73)</f>
        <v>762.87</v>
      </c>
      <c r="P73" s="17" t="n">
        <f aca="false">AVERAGE(K73:M73)</f>
        <v>109.25</v>
      </c>
      <c r="Q73" s="17" t="n">
        <f aca="false">O73/7.6774</f>
        <v>99.365670669758</v>
      </c>
      <c r="R73" s="55" t="n">
        <f aca="false">IFERROR(AVERAGE(K73:M73)/AVERAGE(H73:J73),"")</f>
        <v>1.00576917175561</v>
      </c>
      <c r="S73" s="56" t="s">
        <v>253</v>
      </c>
      <c r="T73" s="18" t="n">
        <f aca="false">IF($S73="DROPPED",0,IF(OR($S73="ONE-TIME",$S73="PERIODIC"),$Q73,IF($S73="NEW",109.25,$P73)))</f>
        <v>109.25</v>
      </c>
      <c r="U73" s="40" t="n">
        <v>95</v>
      </c>
      <c r="V73" s="17" t="n">
        <f aca="false">IF($U73="","",$T73-$U73)</f>
        <v>14.25</v>
      </c>
      <c r="W73" s="40"/>
      <c r="X73" s="7" t="s">
        <v>507</v>
      </c>
    </row>
    <row r="74" customFormat="false" ht="15" hidden="false" customHeight="false" outlineLevel="0" collapsed="false">
      <c r="A74" s="42" t="s">
        <v>416</v>
      </c>
      <c r="B74" s="42" t="s">
        <v>508</v>
      </c>
      <c r="C74" s="42" t="s">
        <v>465</v>
      </c>
      <c r="D74" s="42" t="s">
        <v>465</v>
      </c>
      <c r="E74" s="54"/>
      <c r="F74" s="42" t="s">
        <v>72</v>
      </c>
      <c r="G74" s="40" t="n">
        <v>-3747.13</v>
      </c>
      <c r="H74" s="40" t="n">
        <v>0</v>
      </c>
      <c r="I74" s="40" t="n">
        <v>3040.42</v>
      </c>
      <c r="J74" s="40" t="n">
        <v>0</v>
      </c>
      <c r="K74" s="40" t="n">
        <v>0</v>
      </c>
      <c r="L74" s="40" t="n">
        <v>0</v>
      </c>
      <c r="M74" s="40" t="n">
        <v>1455.18</v>
      </c>
      <c r="N74" s="40" t="n">
        <v>0</v>
      </c>
      <c r="O74" s="17" t="n">
        <f aca="false">SUM(G74:N74)</f>
        <v>748.47</v>
      </c>
      <c r="P74" s="17" t="n">
        <f aca="false">AVERAGE(K74:M74)</f>
        <v>485.06</v>
      </c>
      <c r="Q74" s="17" t="n">
        <f aca="false">O74/7.6774</f>
        <v>97.4900356891656</v>
      </c>
      <c r="R74" s="55" t="n">
        <f aca="false">IFERROR(AVERAGE(K74:M74)/AVERAGE(H74:J74),"")</f>
        <v>0.478611507620658</v>
      </c>
      <c r="S74" s="62" t="s">
        <v>291</v>
      </c>
      <c r="T74" s="18" t="n">
        <f aca="false">IF($S74="DROPPED",0,IF(OR($S74="ONE-TIME",$S74="PERIODIC"),$Q74,IF($S74="NEW",97.49,$P74)))</f>
        <v>97.4900356891656</v>
      </c>
      <c r="U74" s="40"/>
      <c r="V74" s="17" t="str">
        <f aca="false">IF($U74="","",$T74-$U74)</f>
        <v/>
      </c>
      <c r="W74" s="40"/>
      <c r="X74" s="7"/>
    </row>
    <row r="75" customFormat="false" ht="15" hidden="false" customHeight="false" outlineLevel="0" collapsed="false">
      <c r="A75" s="42" t="s">
        <v>310</v>
      </c>
      <c r="B75" s="42" t="s">
        <v>467</v>
      </c>
      <c r="C75" s="42" t="s">
        <v>63</v>
      </c>
      <c r="D75" s="42" t="s">
        <v>63</v>
      </c>
      <c r="E75" s="54"/>
      <c r="F75" s="42" t="s">
        <v>63</v>
      </c>
      <c r="G75" s="40" t="n">
        <v>91</v>
      </c>
      <c r="H75" s="40" t="n">
        <v>91</v>
      </c>
      <c r="I75" s="40" t="n">
        <v>91</v>
      </c>
      <c r="J75" s="40" t="n">
        <v>91</v>
      </c>
      <c r="K75" s="40" t="n">
        <v>91</v>
      </c>
      <c r="L75" s="40" t="n">
        <v>91</v>
      </c>
      <c r="M75" s="40" t="n">
        <v>91</v>
      </c>
      <c r="N75" s="40" t="n">
        <v>91</v>
      </c>
      <c r="O75" s="17" t="n">
        <f aca="false">SUM(G75:N75)</f>
        <v>728</v>
      </c>
      <c r="P75" s="17" t="n">
        <f aca="false">AVERAGE(K75:M75)</f>
        <v>91</v>
      </c>
      <c r="Q75" s="17" t="n">
        <f aca="false">O75/7.6774</f>
        <v>94.8237684632819</v>
      </c>
      <c r="R75" s="55" t="n">
        <f aca="false">IFERROR(AVERAGE(K75:M75)/AVERAGE(H75:J75),"")</f>
        <v>1</v>
      </c>
      <c r="S75" s="56" t="s">
        <v>253</v>
      </c>
      <c r="T75" s="18" t="n">
        <f aca="false">IF($S75="DROPPED",0,IF(OR($S75="ONE-TIME",$S75="PERIODIC"),$Q75,IF($S75="NEW",91,$P75)))</f>
        <v>91</v>
      </c>
      <c r="U75" s="40" t="n">
        <v>91</v>
      </c>
      <c r="V75" s="17" t="n">
        <f aca="false">IF($U75="","",$T75-$U75)</f>
        <v>0</v>
      </c>
      <c r="W75" s="40"/>
      <c r="X75" s="7" t="s">
        <v>509</v>
      </c>
    </row>
    <row r="76" customFormat="false" ht="15" hidden="false" customHeight="false" outlineLevel="0" collapsed="false">
      <c r="A76" s="42" t="s">
        <v>379</v>
      </c>
      <c r="B76" s="42" t="s">
        <v>490</v>
      </c>
      <c r="C76" s="42" t="s">
        <v>71</v>
      </c>
      <c r="D76" s="42" t="s">
        <v>68</v>
      </c>
      <c r="E76" s="57" t="s">
        <v>464</v>
      </c>
      <c r="F76" s="42" t="s">
        <v>68</v>
      </c>
      <c r="G76" s="40" t="n">
        <v>67.43</v>
      </c>
      <c r="H76" s="40" t="n">
        <v>149.97</v>
      </c>
      <c r="I76" s="40" t="n">
        <v>82.22</v>
      </c>
      <c r="J76" s="40" t="n">
        <v>89.61</v>
      </c>
      <c r="K76" s="40" t="n">
        <v>123.61</v>
      </c>
      <c r="L76" s="40" t="n">
        <v>89.28</v>
      </c>
      <c r="M76" s="40" t="n">
        <v>119.77</v>
      </c>
      <c r="N76" s="40" t="n">
        <v>0</v>
      </c>
      <c r="O76" s="17" t="n">
        <f aca="false">SUM(G76:N76)</f>
        <v>721.89</v>
      </c>
      <c r="P76" s="17" t="n">
        <f aca="false">AVERAGE(K76:M76)</f>
        <v>110.886666666667</v>
      </c>
      <c r="Q76" s="17" t="n">
        <f aca="false">O76/7.6774</f>
        <v>94.0279261208222</v>
      </c>
      <c r="R76" s="55" t="n">
        <f aca="false">IFERROR(AVERAGE(K76:M76)/AVERAGE(H76:J76),"")</f>
        <v>1.03374766935985</v>
      </c>
      <c r="S76" s="56" t="s">
        <v>253</v>
      </c>
      <c r="T76" s="18" t="n">
        <f aca="false">IF($S76="DROPPED",0,IF(OR($S76="ONE-TIME",$S76="PERIODIC"),$Q76,IF($S76="NEW",110.89,$P76)))</f>
        <v>110.886666666667</v>
      </c>
      <c r="U76" s="40" t="n">
        <v>89.69</v>
      </c>
      <c r="V76" s="17" t="n">
        <f aca="false">IF($U76="","",$T76-$U76)</f>
        <v>21.1966666666667</v>
      </c>
      <c r="W76" s="40"/>
      <c r="X76" s="7" t="s">
        <v>510</v>
      </c>
    </row>
    <row r="77" customFormat="false" ht="15" hidden="false" customHeight="false" outlineLevel="0" collapsed="false">
      <c r="A77" s="42" t="s">
        <v>381</v>
      </c>
      <c r="B77" s="42" t="s">
        <v>472</v>
      </c>
      <c r="C77" s="42" t="s">
        <v>68</v>
      </c>
      <c r="D77" s="42" t="s">
        <v>68</v>
      </c>
      <c r="E77" s="54"/>
      <c r="F77" s="42" t="s">
        <v>68</v>
      </c>
      <c r="G77" s="40" t="n">
        <v>88</v>
      </c>
      <c r="H77" s="40" t="n">
        <v>88</v>
      </c>
      <c r="I77" s="40" t="n">
        <v>88</v>
      </c>
      <c r="J77" s="40" t="n">
        <v>88</v>
      </c>
      <c r="K77" s="40" t="n">
        <v>88</v>
      </c>
      <c r="L77" s="40" t="n">
        <v>88</v>
      </c>
      <c r="M77" s="40" t="n">
        <v>88</v>
      </c>
      <c r="N77" s="40" t="n">
        <v>88</v>
      </c>
      <c r="O77" s="17" t="n">
        <f aca="false">SUM(G77:N77)</f>
        <v>704</v>
      </c>
      <c r="P77" s="17" t="n">
        <f aca="false">AVERAGE(K77:M77)</f>
        <v>88</v>
      </c>
      <c r="Q77" s="17" t="n">
        <f aca="false">O77/7.6774</f>
        <v>91.6977101622945</v>
      </c>
      <c r="R77" s="55" t="n">
        <f aca="false">IFERROR(AVERAGE(K77:M77)/AVERAGE(H77:J77),"")</f>
        <v>1</v>
      </c>
      <c r="S77" s="56" t="s">
        <v>253</v>
      </c>
      <c r="T77" s="18" t="n">
        <f aca="false">IF($S77="DROPPED",0,IF(OR($S77="ONE-TIME",$S77="PERIODIC"),$Q77,IF($S77="NEW",88,$P77)))</f>
        <v>88</v>
      </c>
      <c r="U77" s="40" t="n">
        <v>88</v>
      </c>
      <c r="V77" s="17" t="n">
        <f aca="false">IF($U77="","",$T77-$U77)</f>
        <v>0</v>
      </c>
      <c r="W77" s="40"/>
      <c r="X77" s="7" t="s">
        <v>511</v>
      </c>
    </row>
    <row r="78" customFormat="false" ht="15" hidden="false" customHeight="false" outlineLevel="0" collapsed="false">
      <c r="A78" s="42" t="s">
        <v>393</v>
      </c>
      <c r="B78" s="42" t="s">
        <v>472</v>
      </c>
      <c r="C78" s="42" t="s">
        <v>71</v>
      </c>
      <c r="D78" s="42" t="s">
        <v>465</v>
      </c>
      <c r="E78" s="54"/>
      <c r="F78" s="42" t="s">
        <v>71</v>
      </c>
      <c r="G78" s="40" t="n">
        <v>0</v>
      </c>
      <c r="H78" s="40" t="n">
        <v>0</v>
      </c>
      <c r="I78" s="40" t="n">
        <v>0</v>
      </c>
      <c r="J78" s="40" t="n">
        <v>0</v>
      </c>
      <c r="K78" s="40" t="n">
        <v>125</v>
      </c>
      <c r="L78" s="40" t="n">
        <v>125</v>
      </c>
      <c r="M78" s="40" t="n">
        <v>125</v>
      </c>
      <c r="N78" s="40" t="n">
        <v>323.29</v>
      </c>
      <c r="O78" s="17" t="n">
        <f aca="false">SUM(G78:N78)</f>
        <v>698.29</v>
      </c>
      <c r="P78" s="17" t="n">
        <f aca="false">AVERAGE(K78:M78)</f>
        <v>125</v>
      </c>
      <c r="Q78" s="17" t="n">
        <f aca="false">O78/7.6774</f>
        <v>90.953968791518</v>
      </c>
      <c r="R78" s="55" t="str">
        <f aca="false">IFERROR(AVERAGE(K78:M78)/AVERAGE(H78:J78),"")</f>
        <v/>
      </c>
      <c r="S78" s="63" t="s">
        <v>261</v>
      </c>
      <c r="T78" s="18" t="n">
        <f aca="false">IF($S78="DROPPED",0,IF(OR($S78="ONE-TIME",$S78="PERIODIC"),$Q78,IF($S78="NEW",125,$P78)))</f>
        <v>125</v>
      </c>
      <c r="U78" s="40"/>
      <c r="V78" s="17" t="str">
        <f aca="false">IF($U78="","",$T78-$U78)</f>
        <v/>
      </c>
      <c r="W78" s="40"/>
      <c r="X78" s="7"/>
    </row>
    <row r="79" customFormat="false" ht="15" hidden="false" customHeight="false" outlineLevel="0" collapsed="false">
      <c r="A79" s="42" t="s">
        <v>300</v>
      </c>
      <c r="B79" s="42" t="s">
        <v>467</v>
      </c>
      <c r="C79" s="42" t="s">
        <v>63</v>
      </c>
      <c r="D79" s="42" t="s">
        <v>465</v>
      </c>
      <c r="E79" s="54"/>
      <c r="F79" s="42" t="s">
        <v>63</v>
      </c>
      <c r="G79" s="40" t="n">
        <v>0</v>
      </c>
      <c r="H79" s="40" t="n">
        <v>0</v>
      </c>
      <c r="I79" s="40" t="n">
        <v>0</v>
      </c>
      <c r="J79" s="40" t="n">
        <v>0</v>
      </c>
      <c r="K79" s="40" t="n">
        <v>0</v>
      </c>
      <c r="L79" s="40" t="n">
        <v>0</v>
      </c>
      <c r="M79" s="40" t="n">
        <v>0</v>
      </c>
      <c r="N79" s="40" t="n">
        <v>679.45</v>
      </c>
      <c r="O79" s="17" t="n">
        <f aca="false">SUM(G79:N79)</f>
        <v>679.45</v>
      </c>
      <c r="P79" s="17" t="n">
        <f aca="false">AVERAGE(K79:M79)</f>
        <v>0</v>
      </c>
      <c r="Q79" s="17" t="n">
        <f aca="false">O79/7.6774</f>
        <v>88.5000130252429</v>
      </c>
      <c r="R79" s="55" t="str">
        <f aca="false">IFERROR(AVERAGE(K79:M79)/AVERAGE(H79:J79),"")</f>
        <v/>
      </c>
      <c r="S79" s="63" t="s">
        <v>261</v>
      </c>
      <c r="T79" s="18" t="n">
        <f aca="false">IF($S79="DROPPED",0,IF(OR($S79="ONE-TIME",$S79="PERIODIC"),$Q79,IF($S79="NEW",1003,$P79)))</f>
        <v>1003</v>
      </c>
      <c r="U79" s="40"/>
      <c r="V79" s="17" t="str">
        <f aca="false">IF($U79="","",$T79-$U79)</f>
        <v/>
      </c>
      <c r="W79" s="40"/>
      <c r="X79" s="7"/>
    </row>
    <row r="80" customFormat="false" ht="15" hidden="false" customHeight="false" outlineLevel="0" collapsed="false">
      <c r="A80" s="42" t="s">
        <v>412</v>
      </c>
      <c r="B80" s="42" t="s">
        <v>512</v>
      </c>
      <c r="C80" s="42" t="s">
        <v>465</v>
      </c>
      <c r="D80" s="42" t="s">
        <v>465</v>
      </c>
      <c r="E80" s="54"/>
      <c r="F80" s="42" t="s">
        <v>72</v>
      </c>
      <c r="G80" s="40" t="n">
        <v>0</v>
      </c>
      <c r="H80" s="40" t="n">
        <v>0</v>
      </c>
      <c r="I80" s="40" t="n">
        <v>0</v>
      </c>
      <c r="J80" s="40" t="n">
        <v>0</v>
      </c>
      <c r="K80" s="40" t="n">
        <v>0</v>
      </c>
      <c r="L80" s="40" t="n">
        <v>202</v>
      </c>
      <c r="M80" s="40" t="n">
        <v>202</v>
      </c>
      <c r="N80" s="40" t="n">
        <v>202</v>
      </c>
      <c r="O80" s="17" t="n">
        <f aca="false">SUM(G80:N80)</f>
        <v>606</v>
      </c>
      <c r="P80" s="17" t="n">
        <f aca="false">AVERAGE(K80:M80)</f>
        <v>134.666666666667</v>
      </c>
      <c r="Q80" s="17" t="n">
        <f aca="false">O80/7.6774</f>
        <v>78.9329720999297</v>
      </c>
      <c r="R80" s="55" t="str">
        <f aca="false">IFERROR(AVERAGE(K80:M80)/AVERAGE(H80:J80),"")</f>
        <v/>
      </c>
      <c r="S80" s="63" t="s">
        <v>261</v>
      </c>
      <c r="T80" s="18" t="n">
        <f aca="false">IF($S80="DROPPED",0,IF(OR($S80="ONE-TIME",$S80="PERIODIC"),$Q80,IF($S80="NEW",202,$P80)))</f>
        <v>202</v>
      </c>
      <c r="U80" s="40"/>
      <c r="V80" s="17" t="str">
        <f aca="false">IF($U80="","",$T80-$U80)</f>
        <v/>
      </c>
      <c r="W80" s="40"/>
      <c r="X80" s="7"/>
    </row>
    <row r="81" customFormat="false" ht="15" hidden="false" customHeight="false" outlineLevel="0" collapsed="false">
      <c r="A81" s="42" t="s">
        <v>311</v>
      </c>
      <c r="B81" s="42" t="s">
        <v>472</v>
      </c>
      <c r="C81" s="42" t="s">
        <v>63</v>
      </c>
      <c r="D81" s="42" t="s">
        <v>63</v>
      </c>
      <c r="E81" s="54"/>
      <c r="F81" s="42" t="s">
        <v>63</v>
      </c>
      <c r="G81" s="40" t="n">
        <v>82</v>
      </c>
      <c r="H81" s="40" t="n">
        <v>0</v>
      </c>
      <c r="I81" s="40" t="n">
        <v>82</v>
      </c>
      <c r="J81" s="40" t="n">
        <v>82</v>
      </c>
      <c r="K81" s="40" t="n">
        <v>82</v>
      </c>
      <c r="L81" s="40" t="n">
        <v>82</v>
      </c>
      <c r="M81" s="40" t="n">
        <v>82</v>
      </c>
      <c r="N81" s="40" t="n">
        <v>110.13</v>
      </c>
      <c r="O81" s="17" t="n">
        <f aca="false">SUM(G81:N81)</f>
        <v>602.13</v>
      </c>
      <c r="P81" s="17" t="n">
        <f aca="false">AVERAGE(K81:M81)</f>
        <v>82</v>
      </c>
      <c r="Q81" s="17" t="n">
        <f aca="false">O81/7.6774</f>
        <v>78.4288951988955</v>
      </c>
      <c r="R81" s="55" t="n">
        <f aca="false">IFERROR(AVERAGE(K81:M81)/AVERAGE(H81:J81),"")</f>
        <v>1.5</v>
      </c>
      <c r="S81" s="56" t="s">
        <v>253</v>
      </c>
      <c r="T81" s="18" t="n">
        <f aca="false">IF($S81="DROPPED",0,IF(OR($S81="ONE-TIME",$S81="PERIODIC"),$Q81,IF($S81="NEW",82,$P81)))</f>
        <v>82</v>
      </c>
      <c r="U81" s="40" t="n">
        <v>82</v>
      </c>
      <c r="V81" s="17" t="n">
        <f aca="false">IF($U81="","",$T81-$U81)</f>
        <v>0</v>
      </c>
      <c r="W81" s="40"/>
      <c r="X81" s="7" t="s">
        <v>513</v>
      </c>
    </row>
    <row r="82" customFormat="false" ht="15" hidden="false" customHeight="false" outlineLevel="0" collapsed="false">
      <c r="A82" s="42" t="s">
        <v>417</v>
      </c>
      <c r="B82" s="42" t="s">
        <v>490</v>
      </c>
      <c r="C82" s="42" t="s">
        <v>465</v>
      </c>
      <c r="D82" s="42" t="s">
        <v>465</v>
      </c>
      <c r="E82" s="54"/>
      <c r="F82" s="42" t="s">
        <v>72</v>
      </c>
      <c r="G82" s="40" t="n">
        <v>0</v>
      </c>
      <c r="H82" s="40" t="n">
        <v>0</v>
      </c>
      <c r="I82" s="40" t="n">
        <v>0</v>
      </c>
      <c r="J82" s="40" t="n">
        <v>579.99</v>
      </c>
      <c r="K82" s="40" t="n">
        <v>0</v>
      </c>
      <c r="L82" s="40" t="n">
        <v>0</v>
      </c>
      <c r="M82" s="40" t="n">
        <v>0</v>
      </c>
      <c r="N82" s="40" t="n">
        <v>0</v>
      </c>
      <c r="O82" s="17" t="n">
        <f aca="false">SUM(G82:N82)</f>
        <v>579.99</v>
      </c>
      <c r="P82" s="17" t="n">
        <f aca="false">AVERAGE(K82:M82)</f>
        <v>0</v>
      </c>
      <c r="Q82" s="17" t="n">
        <f aca="false">O82/7.6774</f>
        <v>75.5451064162347</v>
      </c>
      <c r="R82" s="55" t="n">
        <f aca="false">IFERROR(AVERAGE(K82:M82)/AVERAGE(H82:J82),"")</f>
        <v>0</v>
      </c>
      <c r="S82" s="60" t="s">
        <v>285</v>
      </c>
      <c r="T82" s="18" t="n">
        <f aca="false">IF($S82="DROPPED",0,IF(OR($S82="ONE-TIME",$S82="PERIODIC"),$Q82,IF($S82="NEW",75.54,$P82)))</f>
        <v>75.5451064162347</v>
      </c>
      <c r="U82" s="40"/>
      <c r="V82" s="17" t="str">
        <f aca="false">IF($U82="","",$T82-$U82)</f>
        <v/>
      </c>
      <c r="W82" s="40"/>
      <c r="X82" s="7"/>
    </row>
    <row r="83" customFormat="false" ht="15" hidden="false" customHeight="false" outlineLevel="0" collapsed="false">
      <c r="A83" s="42" t="s">
        <v>418</v>
      </c>
      <c r="B83" s="42" t="s">
        <v>514</v>
      </c>
      <c r="C83" s="42" t="s">
        <v>465</v>
      </c>
      <c r="D83" s="42" t="s">
        <v>465</v>
      </c>
      <c r="E83" s="54"/>
      <c r="F83" s="42" t="s">
        <v>72</v>
      </c>
      <c r="G83" s="40" t="n">
        <v>562.04</v>
      </c>
      <c r="H83" s="40" t="n">
        <v>0</v>
      </c>
      <c r="I83" s="40" t="n">
        <v>0</v>
      </c>
      <c r="J83" s="40" t="n">
        <v>0</v>
      </c>
      <c r="K83" s="40" t="n">
        <v>0</v>
      </c>
      <c r="L83" s="40" t="n">
        <v>0</v>
      </c>
      <c r="M83" s="40" t="n">
        <v>0</v>
      </c>
      <c r="N83" s="40" t="n">
        <v>0</v>
      </c>
      <c r="O83" s="17" t="n">
        <f aca="false">SUM(G83:N83)</f>
        <v>562.04</v>
      </c>
      <c r="P83" s="17" t="n">
        <f aca="false">AVERAGE(K83:M83)</f>
        <v>0</v>
      </c>
      <c r="Q83" s="17" t="n">
        <f aca="false">O83/7.6774</f>
        <v>73.2070753119546</v>
      </c>
      <c r="R83" s="55" t="str">
        <f aca="false">IFERROR(AVERAGE(K83:M83)/AVERAGE(H83:J83),"")</f>
        <v/>
      </c>
      <c r="S83" s="60" t="s">
        <v>285</v>
      </c>
      <c r="T83" s="18" t="n">
        <f aca="false">IF($S83="DROPPED",0,IF(OR($S83="ONE-TIME",$S83="PERIODIC"),$Q83,IF($S83="NEW",73.21,$P83)))</f>
        <v>73.2070753119546</v>
      </c>
      <c r="U83" s="40"/>
      <c r="V83" s="17" t="str">
        <f aca="false">IF($U83="","",$T83-$U83)</f>
        <v/>
      </c>
      <c r="W83" s="40"/>
      <c r="X83" s="7"/>
    </row>
    <row r="84" customFormat="false" ht="15" hidden="false" customHeight="false" outlineLevel="0" collapsed="false">
      <c r="A84" s="42" t="s">
        <v>283</v>
      </c>
      <c r="B84" s="42" t="s">
        <v>472</v>
      </c>
      <c r="C84" s="42" t="s">
        <v>62</v>
      </c>
      <c r="D84" s="42" t="s">
        <v>62</v>
      </c>
      <c r="E84" s="54"/>
      <c r="F84" s="42" t="s">
        <v>62</v>
      </c>
      <c r="G84" s="40" t="n">
        <v>59</v>
      </c>
      <c r="H84" s="40" t="n">
        <v>59</v>
      </c>
      <c r="I84" s="40" t="n">
        <v>59</v>
      </c>
      <c r="J84" s="40" t="n">
        <v>59</v>
      </c>
      <c r="K84" s="40" t="n">
        <v>149</v>
      </c>
      <c r="L84" s="40" t="n">
        <v>59</v>
      </c>
      <c r="M84" s="40" t="n">
        <v>59</v>
      </c>
      <c r="N84" s="40" t="n">
        <v>59</v>
      </c>
      <c r="O84" s="17" t="n">
        <f aca="false">SUM(G84:N84)</f>
        <v>562</v>
      </c>
      <c r="P84" s="17" t="n">
        <f aca="false">AVERAGE(K84:M84)</f>
        <v>89</v>
      </c>
      <c r="Q84" s="17" t="n">
        <f aca="false">O84/7.6774</f>
        <v>73.2018652147863</v>
      </c>
      <c r="R84" s="55" t="n">
        <f aca="false">IFERROR(AVERAGE(K84:M84)/AVERAGE(H84:J84),"")</f>
        <v>1.50847457627119</v>
      </c>
      <c r="S84" s="56" t="s">
        <v>253</v>
      </c>
      <c r="T84" s="18" t="n">
        <f aca="false">IF($S84="DROPPED",0,IF(OR($S84="ONE-TIME",$S84="PERIODIC"),$Q84,IF($S84="NEW",89,$P84)))</f>
        <v>89</v>
      </c>
      <c r="U84" s="40" t="n">
        <v>59</v>
      </c>
      <c r="V84" s="17" t="n">
        <f aca="false">IF($U84="","",$T84-$U84)</f>
        <v>30</v>
      </c>
      <c r="W84" s="40"/>
      <c r="X84" s="7"/>
    </row>
    <row r="85" customFormat="false" ht="15" hidden="false" customHeight="false" outlineLevel="0" collapsed="false">
      <c r="A85" s="42" t="s">
        <v>355</v>
      </c>
      <c r="B85" s="42" t="s">
        <v>472</v>
      </c>
      <c r="C85" s="42" t="s">
        <v>71</v>
      </c>
      <c r="D85" s="42" t="s">
        <v>67</v>
      </c>
      <c r="E85" s="57" t="s">
        <v>464</v>
      </c>
      <c r="F85" s="42" t="s">
        <v>67</v>
      </c>
      <c r="G85" s="40" t="n">
        <v>69</v>
      </c>
      <c r="H85" s="40" t="n">
        <v>69</v>
      </c>
      <c r="I85" s="40" t="n">
        <v>69</v>
      </c>
      <c r="J85" s="40" t="n">
        <v>69</v>
      </c>
      <c r="K85" s="40" t="n">
        <v>69</v>
      </c>
      <c r="L85" s="40" t="n">
        <v>69</v>
      </c>
      <c r="M85" s="40" t="n">
        <v>69</v>
      </c>
      <c r="N85" s="40" t="n">
        <v>69</v>
      </c>
      <c r="O85" s="17" t="n">
        <f aca="false">SUM(G85:N85)</f>
        <v>552</v>
      </c>
      <c r="P85" s="17" t="n">
        <f aca="false">AVERAGE(K85:M85)</f>
        <v>69</v>
      </c>
      <c r="Q85" s="17" t="n">
        <f aca="false">O85/7.6774</f>
        <v>71.8993409227082</v>
      </c>
      <c r="R85" s="55" t="n">
        <f aca="false">IFERROR(AVERAGE(K85:M85)/AVERAGE(H85:J85),"")</f>
        <v>1</v>
      </c>
      <c r="S85" s="56" t="s">
        <v>253</v>
      </c>
      <c r="T85" s="18" t="n">
        <f aca="false">IF($S85="DROPPED",0,IF(OR($S85="ONE-TIME",$S85="PERIODIC"),$Q85,IF($S85="NEW",69,$P85)))</f>
        <v>69</v>
      </c>
      <c r="U85" s="40" t="n">
        <v>69</v>
      </c>
      <c r="V85" s="17" t="n">
        <f aca="false">IF($U85="","",$T85-$U85)</f>
        <v>0</v>
      </c>
      <c r="W85" s="40"/>
      <c r="X85" s="7"/>
    </row>
    <row r="86" customFormat="false" ht="15" hidden="false" customHeight="false" outlineLevel="0" collapsed="false">
      <c r="A86" s="42" t="s">
        <v>259</v>
      </c>
      <c r="B86" s="42" t="s">
        <v>515</v>
      </c>
      <c r="C86" s="42" t="s">
        <v>61</v>
      </c>
      <c r="D86" s="42" t="s">
        <v>465</v>
      </c>
      <c r="E86" s="54"/>
      <c r="F86" s="42" t="s">
        <v>61</v>
      </c>
      <c r="G86" s="40" t="n">
        <v>0</v>
      </c>
      <c r="H86" s="40" t="n">
        <v>0</v>
      </c>
      <c r="I86" s="40" t="n">
        <v>0</v>
      </c>
      <c r="J86" s="40" t="n">
        <v>0</v>
      </c>
      <c r="K86" s="40" t="n">
        <v>0</v>
      </c>
      <c r="L86" s="40" t="n">
        <v>203.06</v>
      </c>
      <c r="M86" s="40" t="n">
        <v>346.54</v>
      </c>
      <c r="N86" s="40" t="n">
        <v>0</v>
      </c>
      <c r="O86" s="17" t="n">
        <f aca="false">SUM(G86:N86)</f>
        <v>549.6</v>
      </c>
      <c r="P86" s="17" t="n">
        <f aca="false">AVERAGE(K86:M86)</f>
        <v>183.2</v>
      </c>
      <c r="Q86" s="17" t="n">
        <f aca="false">O86/7.6774</f>
        <v>71.5867350926095</v>
      </c>
      <c r="R86" s="55" t="str">
        <f aca="false">IFERROR(AVERAGE(K86:M86)/AVERAGE(H86:J86),"")</f>
        <v/>
      </c>
      <c r="S86" s="63" t="s">
        <v>261</v>
      </c>
      <c r="T86" s="18" t="n">
        <f aca="false">IF($S86="DROPPED",0,IF(OR($S86="ONE-TIME",$S86="PERIODIC"),$Q86,IF($S86="NEW",274.8,$P86)))</f>
        <v>274.8</v>
      </c>
      <c r="U86" s="40"/>
      <c r="V86" s="17" t="str">
        <f aca="false">IF($U86="","",$T86-$U86)</f>
        <v/>
      </c>
      <c r="W86" s="40"/>
      <c r="X86" s="7"/>
    </row>
    <row r="87" customFormat="false" ht="15" hidden="false" customHeight="false" outlineLevel="0" collapsed="false">
      <c r="A87" s="42" t="s">
        <v>351</v>
      </c>
      <c r="B87" s="42" t="s">
        <v>472</v>
      </c>
      <c r="C87" s="42" t="s">
        <v>71</v>
      </c>
      <c r="D87" s="42" t="s">
        <v>67</v>
      </c>
      <c r="E87" s="57" t="s">
        <v>464</v>
      </c>
      <c r="F87" s="42" t="s">
        <v>67</v>
      </c>
      <c r="G87" s="40" t="n">
        <v>0</v>
      </c>
      <c r="H87" s="40" t="n">
        <v>0</v>
      </c>
      <c r="I87" s="40" t="n">
        <v>0</v>
      </c>
      <c r="J87" s="40" t="n">
        <v>0</v>
      </c>
      <c r="K87" s="40" t="n">
        <v>528</v>
      </c>
      <c r="L87" s="40" t="n">
        <v>0</v>
      </c>
      <c r="M87" s="40" t="n">
        <v>0</v>
      </c>
      <c r="N87" s="40" t="n">
        <v>0</v>
      </c>
      <c r="O87" s="17" t="n">
        <f aca="false">SUM(G87:N87)</f>
        <v>528</v>
      </c>
      <c r="P87" s="17" t="n">
        <f aca="false">AVERAGE(K87:M87)</f>
        <v>176</v>
      </c>
      <c r="Q87" s="17" t="n">
        <f aca="false">O87/7.6774</f>
        <v>68.7732826217209</v>
      </c>
      <c r="R87" s="55" t="str">
        <f aca="false">IFERROR(AVERAGE(K87:M87)/AVERAGE(H87:J87),"")</f>
        <v/>
      </c>
      <c r="S87" s="63" t="s">
        <v>261</v>
      </c>
      <c r="T87" s="18" t="n">
        <f aca="false">IF($S87="DROPPED",0,IF(OR($S87="ONE-TIME",$S87="PERIODIC"),$Q87,IF($S87="NEW",176,$P87)))</f>
        <v>176</v>
      </c>
      <c r="U87" s="40" t="n">
        <v>40</v>
      </c>
      <c r="V87" s="17" t="n">
        <f aca="false">IF($U87="","",$T87-$U87)</f>
        <v>136</v>
      </c>
      <c r="W87" s="40"/>
      <c r="X87" s="7" t="s">
        <v>516</v>
      </c>
    </row>
    <row r="88" customFormat="false" ht="15" hidden="false" customHeight="false" outlineLevel="0" collapsed="false">
      <c r="A88" s="42" t="s">
        <v>394</v>
      </c>
      <c r="B88" s="42" t="s">
        <v>472</v>
      </c>
      <c r="C88" s="42" t="s">
        <v>71</v>
      </c>
      <c r="D88" s="42" t="s">
        <v>465</v>
      </c>
      <c r="E88" s="54"/>
      <c r="F88" s="42" t="s">
        <v>71</v>
      </c>
      <c r="G88" s="40" t="n">
        <v>0</v>
      </c>
      <c r="H88" s="40" t="n">
        <v>0</v>
      </c>
      <c r="I88" s="40" t="n">
        <v>116</v>
      </c>
      <c r="J88" s="40" t="n">
        <v>116</v>
      </c>
      <c r="K88" s="40" t="n">
        <v>86</v>
      </c>
      <c r="L88" s="40" t="n">
        <v>86</v>
      </c>
      <c r="M88" s="40" t="n">
        <v>116</v>
      </c>
      <c r="N88" s="40" t="n">
        <v>0</v>
      </c>
      <c r="O88" s="17" t="n">
        <f aca="false">SUM(G88:N88)</f>
        <v>520</v>
      </c>
      <c r="P88" s="17" t="n">
        <f aca="false">AVERAGE(K88:M88)</f>
        <v>96</v>
      </c>
      <c r="Q88" s="17" t="n">
        <f aca="false">O88/7.6774</f>
        <v>67.7312631880585</v>
      </c>
      <c r="R88" s="55" t="n">
        <f aca="false">IFERROR(AVERAGE(K88:M88)/AVERAGE(H88:J88),"")</f>
        <v>1.24137931034483</v>
      </c>
      <c r="S88" s="56" t="s">
        <v>253</v>
      </c>
      <c r="T88" s="18" t="n">
        <f aca="false">IF($S88="DROPPED",0,IF(OR($S88="ONE-TIME",$S88="PERIODIC"),$Q88,IF($S88="NEW",96,$P88)))</f>
        <v>96</v>
      </c>
      <c r="U88" s="40"/>
      <c r="V88" s="17" t="str">
        <f aca="false">IF($U88="","",$T88-$U88)</f>
        <v/>
      </c>
      <c r="W88" s="40"/>
      <c r="X88" s="7"/>
    </row>
    <row r="89" customFormat="false" ht="15" hidden="false" customHeight="false" outlineLevel="0" collapsed="false">
      <c r="A89" s="42" t="s">
        <v>420</v>
      </c>
      <c r="B89" s="42" t="s">
        <v>466</v>
      </c>
      <c r="C89" s="42" t="s">
        <v>465</v>
      </c>
      <c r="D89" s="42" t="s">
        <v>465</v>
      </c>
      <c r="E89" s="54"/>
      <c r="F89" s="42" t="s">
        <v>72</v>
      </c>
      <c r="G89" s="40" t="n">
        <v>505</v>
      </c>
      <c r="H89" s="40" t="n">
        <v>0</v>
      </c>
      <c r="I89" s="40" t="n">
        <v>0</v>
      </c>
      <c r="J89" s="40" t="n">
        <v>0</v>
      </c>
      <c r="K89" s="40" t="n">
        <v>0</v>
      </c>
      <c r="L89" s="40" t="n">
        <v>0</v>
      </c>
      <c r="M89" s="40" t="n">
        <v>0</v>
      </c>
      <c r="N89" s="40" t="n">
        <v>0</v>
      </c>
      <c r="O89" s="17" t="n">
        <f aca="false">SUM(G89:N89)</f>
        <v>505</v>
      </c>
      <c r="P89" s="17" t="n">
        <f aca="false">AVERAGE(K89:M89)</f>
        <v>0</v>
      </c>
      <c r="Q89" s="17" t="n">
        <f aca="false">O89/7.6774</f>
        <v>65.7774767499414</v>
      </c>
      <c r="R89" s="55" t="str">
        <f aca="false">IFERROR(AVERAGE(K89:M89)/AVERAGE(H89:J89),"")</f>
        <v/>
      </c>
      <c r="S89" s="60" t="s">
        <v>285</v>
      </c>
      <c r="T89" s="18" t="n">
        <f aca="false">IF($S89="DROPPED",0,IF(OR($S89="ONE-TIME",$S89="PERIODIC"),$Q89,IF($S89="NEW",65.78,$P89)))</f>
        <v>65.7774767499414</v>
      </c>
      <c r="U89" s="40"/>
      <c r="V89" s="17" t="str">
        <f aca="false">IF($U89="","",$T89-$U89)</f>
        <v/>
      </c>
      <c r="W89" s="40"/>
      <c r="X89" s="7"/>
    </row>
    <row r="90" customFormat="false" ht="15" hidden="false" customHeight="false" outlineLevel="0" collapsed="false">
      <c r="A90" s="42" t="s">
        <v>326</v>
      </c>
      <c r="B90" s="42" t="s">
        <v>472</v>
      </c>
      <c r="C90" s="42" t="s">
        <v>64</v>
      </c>
      <c r="D90" s="42" t="s">
        <v>465</v>
      </c>
      <c r="E90" s="54"/>
      <c r="F90" s="42" t="s">
        <v>64</v>
      </c>
      <c r="G90" s="40" t="n">
        <v>497</v>
      </c>
      <c r="H90" s="40" t="n">
        <v>0</v>
      </c>
      <c r="I90" s="40" t="n">
        <v>0</v>
      </c>
      <c r="J90" s="40" t="n">
        <v>0</v>
      </c>
      <c r="K90" s="40" t="n">
        <v>0</v>
      </c>
      <c r="L90" s="40" t="n">
        <v>0</v>
      </c>
      <c r="M90" s="40" t="n">
        <v>0</v>
      </c>
      <c r="N90" s="40" t="n">
        <v>0</v>
      </c>
      <c r="O90" s="17" t="n">
        <f aca="false">SUM(G90:N90)</f>
        <v>497</v>
      </c>
      <c r="P90" s="17" t="n">
        <f aca="false">AVERAGE(K90:M90)</f>
        <v>0</v>
      </c>
      <c r="Q90" s="17" t="n">
        <f aca="false">O90/7.6774</f>
        <v>64.735457316279</v>
      </c>
      <c r="R90" s="55" t="str">
        <f aca="false">IFERROR(AVERAGE(K90:M90)/AVERAGE(H90:J90),"")</f>
        <v/>
      </c>
      <c r="S90" s="60" t="s">
        <v>285</v>
      </c>
      <c r="T90" s="18" t="n">
        <f aca="false">IF($S90="DROPPED",0,IF(OR($S90="ONE-TIME",$S90="PERIODIC"),$Q90,IF($S90="NEW",64.74,$P90)))</f>
        <v>64.735457316279</v>
      </c>
      <c r="U90" s="40"/>
      <c r="V90" s="17" t="str">
        <f aca="false">IF($U90="","",$T90-$U90)</f>
        <v/>
      </c>
      <c r="W90" s="40"/>
      <c r="X90" s="7"/>
    </row>
    <row r="91" customFormat="false" ht="15" hidden="false" customHeight="false" outlineLevel="0" collapsed="false">
      <c r="A91" s="42" t="s">
        <v>365</v>
      </c>
      <c r="B91" s="42" t="s">
        <v>514</v>
      </c>
      <c r="C91" s="42" t="s">
        <v>465</v>
      </c>
      <c r="D91" s="42" t="s">
        <v>67</v>
      </c>
      <c r="E91" s="54"/>
      <c r="F91" s="42" t="s">
        <v>67</v>
      </c>
      <c r="G91" s="40" t="n">
        <v>0</v>
      </c>
      <c r="H91" s="40" t="n">
        <v>0</v>
      </c>
      <c r="I91" s="40" t="n">
        <v>378</v>
      </c>
      <c r="J91" s="40" t="n">
        <v>58</v>
      </c>
      <c r="K91" s="40" t="n">
        <v>49</v>
      </c>
      <c r="L91" s="40" t="n">
        <v>0</v>
      </c>
      <c r="M91" s="40" t="n">
        <v>0</v>
      </c>
      <c r="N91" s="40" t="n">
        <v>0</v>
      </c>
      <c r="O91" s="17" t="n">
        <f aca="false">SUM(G91:N91)</f>
        <v>485</v>
      </c>
      <c r="P91" s="17" t="n">
        <f aca="false">AVERAGE(K91:M91)</f>
        <v>16.3333333333333</v>
      </c>
      <c r="Q91" s="17" t="n">
        <f aca="false">O91/7.6774</f>
        <v>63.1724281657853</v>
      </c>
      <c r="R91" s="55" t="n">
        <f aca="false">IFERROR(AVERAGE(K91:M91)/AVERAGE(H91:J91),"")</f>
        <v>0.112385321100917</v>
      </c>
      <c r="S91" s="58" t="s">
        <v>297</v>
      </c>
      <c r="T91" s="18" t="n">
        <f aca="false">IF($S91="DROPPED",0,IF(OR($S91="ONE-TIME",$S91="PERIODIC"),$Q91,IF($S91="NEW",0,$P91)))</f>
        <v>0</v>
      </c>
      <c r="U91" s="40" t="n">
        <v>122.17</v>
      </c>
      <c r="V91" s="17" t="n">
        <f aca="false">IF($U91="","",$T91-$U91)</f>
        <v>-122.17</v>
      </c>
      <c r="W91" s="40"/>
      <c r="X91" s="7" t="s">
        <v>517</v>
      </c>
    </row>
    <row r="92" customFormat="false" ht="15" hidden="false" customHeight="false" outlineLevel="0" collapsed="false">
      <c r="A92" s="42" t="s">
        <v>356</v>
      </c>
      <c r="B92" s="42" t="s">
        <v>472</v>
      </c>
      <c r="C92" s="42" t="s">
        <v>71</v>
      </c>
      <c r="D92" s="42" t="s">
        <v>67</v>
      </c>
      <c r="E92" s="57" t="s">
        <v>464</v>
      </c>
      <c r="F92" s="42" t="s">
        <v>67</v>
      </c>
      <c r="G92" s="40" t="n">
        <v>60</v>
      </c>
      <c r="H92" s="40" t="n">
        <v>60</v>
      </c>
      <c r="I92" s="40" t="n">
        <v>60</v>
      </c>
      <c r="J92" s="40" t="n">
        <v>60</v>
      </c>
      <c r="K92" s="40" t="n">
        <v>60</v>
      </c>
      <c r="L92" s="40" t="n">
        <v>60</v>
      </c>
      <c r="M92" s="40" t="n">
        <v>60</v>
      </c>
      <c r="N92" s="40" t="n">
        <v>60</v>
      </c>
      <c r="O92" s="17" t="n">
        <f aca="false">SUM(G92:N92)</f>
        <v>480</v>
      </c>
      <c r="P92" s="17" t="n">
        <f aca="false">AVERAGE(K92:M92)</f>
        <v>60</v>
      </c>
      <c r="Q92" s="17" t="n">
        <f aca="false">O92/7.6774</f>
        <v>62.5211660197463</v>
      </c>
      <c r="R92" s="55" t="n">
        <f aca="false">IFERROR(AVERAGE(K92:M92)/AVERAGE(H92:J92),"")</f>
        <v>1</v>
      </c>
      <c r="S92" s="56" t="s">
        <v>253</v>
      </c>
      <c r="T92" s="18" t="n">
        <f aca="false">IF($S92="DROPPED",0,IF(OR($S92="ONE-TIME",$S92="PERIODIC"),$Q92,IF($S92="NEW",60,$P92)))</f>
        <v>60</v>
      </c>
      <c r="U92" s="40" t="n">
        <v>60</v>
      </c>
      <c r="V92" s="17" t="n">
        <f aca="false">IF($U92="","",$T92-$U92)</f>
        <v>0</v>
      </c>
      <c r="W92" s="40"/>
      <c r="X92" s="7"/>
    </row>
    <row r="93" customFormat="false" ht="15" hidden="false" customHeight="false" outlineLevel="0" collapsed="false">
      <c r="A93" s="42" t="s">
        <v>374</v>
      </c>
      <c r="B93" s="42" t="s">
        <v>493</v>
      </c>
      <c r="C93" s="42" t="s">
        <v>68</v>
      </c>
      <c r="D93" s="42" t="s">
        <v>465</v>
      </c>
      <c r="E93" s="54"/>
      <c r="F93" s="42" t="s">
        <v>68</v>
      </c>
      <c r="G93" s="40" t="n">
        <v>0</v>
      </c>
      <c r="H93" s="40" t="n">
        <v>0</v>
      </c>
      <c r="I93" s="40" t="n">
        <v>0</v>
      </c>
      <c r="J93" s="40" t="n">
        <v>0</v>
      </c>
      <c r="K93" s="40" t="n">
        <v>0</v>
      </c>
      <c r="L93" s="40" t="n">
        <v>0</v>
      </c>
      <c r="M93" s="40" t="n">
        <v>0</v>
      </c>
      <c r="N93" s="40" t="n">
        <v>460</v>
      </c>
      <c r="O93" s="17" t="n">
        <f aca="false">SUM(G93:N93)</f>
        <v>460</v>
      </c>
      <c r="P93" s="17" t="n">
        <f aca="false">AVERAGE(K93:M93)</f>
        <v>0</v>
      </c>
      <c r="Q93" s="17" t="n">
        <f aca="false">O93/7.6774</f>
        <v>59.9161174355902</v>
      </c>
      <c r="R93" s="55" t="str">
        <f aca="false">IFERROR(AVERAGE(K93:M93)/AVERAGE(H93:J93),"")</f>
        <v/>
      </c>
      <c r="S93" s="63" t="s">
        <v>261</v>
      </c>
      <c r="T93" s="18" t="n">
        <f aca="false">IF($S93="DROPPED",0,IF(OR($S93="ONE-TIME",$S93="PERIODIC"),$Q93,IF($S93="NEW",679.05,$P93)))</f>
        <v>679.05</v>
      </c>
      <c r="U93" s="40"/>
      <c r="V93" s="17" t="str">
        <f aca="false">IF($U93="","",$T93-$U93)</f>
        <v/>
      </c>
      <c r="W93" s="40"/>
      <c r="X93" s="7"/>
    </row>
    <row r="94" customFormat="false" ht="15" hidden="false" customHeight="false" outlineLevel="0" collapsed="false">
      <c r="A94" s="42" t="s">
        <v>407</v>
      </c>
      <c r="B94" s="42" t="s">
        <v>487</v>
      </c>
      <c r="C94" s="42" t="s">
        <v>465</v>
      </c>
      <c r="D94" s="42" t="s">
        <v>465</v>
      </c>
      <c r="E94" s="54"/>
      <c r="F94" s="42" t="s">
        <v>72</v>
      </c>
      <c r="G94" s="40" t="n">
        <v>0</v>
      </c>
      <c r="H94" s="40" t="n">
        <v>0</v>
      </c>
      <c r="I94" s="40" t="n">
        <v>0</v>
      </c>
      <c r="J94" s="40" t="n">
        <v>0</v>
      </c>
      <c r="K94" s="40" t="n">
        <v>0</v>
      </c>
      <c r="L94" s="40" t="n">
        <v>0</v>
      </c>
      <c r="M94" s="40" t="n">
        <v>445.44</v>
      </c>
      <c r="N94" s="40" t="n">
        <v>0</v>
      </c>
      <c r="O94" s="17" t="n">
        <f aca="false">SUM(G94:N94)</f>
        <v>445.44</v>
      </c>
      <c r="P94" s="17" t="n">
        <f aca="false">AVERAGE(K94:M94)</f>
        <v>148.48</v>
      </c>
      <c r="Q94" s="17" t="n">
        <f aca="false">O94/7.6774</f>
        <v>58.0196420663245</v>
      </c>
      <c r="R94" s="55" t="str">
        <f aca="false">IFERROR(AVERAGE(K94:M94)/AVERAGE(H94:J94),"")</f>
        <v/>
      </c>
      <c r="S94" s="63" t="s">
        <v>261</v>
      </c>
      <c r="T94" s="18" t="n">
        <f aca="false">IF($S94="DROPPED",0,IF(OR($S94="ONE-TIME",$S94="PERIODIC"),$Q94,IF($S94="NEW",445.44,$P94)))</f>
        <v>445.44</v>
      </c>
      <c r="U94" s="40"/>
      <c r="V94" s="17" t="str">
        <f aca="false">IF($U94="","",$T94-$U94)</f>
        <v/>
      </c>
      <c r="W94" s="40"/>
      <c r="X94" s="7"/>
    </row>
    <row r="95" customFormat="false" ht="15" hidden="false" customHeight="false" outlineLevel="0" collapsed="false">
      <c r="A95" s="42" t="s">
        <v>408</v>
      </c>
      <c r="B95" s="42" t="s">
        <v>514</v>
      </c>
      <c r="C95" s="42" t="s">
        <v>465</v>
      </c>
      <c r="D95" s="42" t="s">
        <v>465</v>
      </c>
      <c r="E95" s="54"/>
      <c r="F95" s="42" t="s">
        <v>72</v>
      </c>
      <c r="G95" s="40" t="n">
        <v>0</v>
      </c>
      <c r="H95" s="40" t="n">
        <v>0</v>
      </c>
      <c r="I95" s="40" t="n">
        <v>0</v>
      </c>
      <c r="J95" s="40" t="n">
        <v>0</v>
      </c>
      <c r="K95" s="40" t="n">
        <v>0</v>
      </c>
      <c r="L95" s="40" t="n">
        <v>0</v>
      </c>
      <c r="M95" s="40" t="n">
        <v>440</v>
      </c>
      <c r="N95" s="40" t="n">
        <v>0</v>
      </c>
      <c r="O95" s="17" t="n">
        <f aca="false">SUM(G95:N95)</f>
        <v>440</v>
      </c>
      <c r="P95" s="17" t="n">
        <f aca="false">AVERAGE(K95:M95)</f>
        <v>146.666666666667</v>
      </c>
      <c r="Q95" s="17" t="n">
        <f aca="false">O95/7.6774</f>
        <v>57.3110688514341</v>
      </c>
      <c r="R95" s="55" t="str">
        <f aca="false">IFERROR(AVERAGE(K95:M95)/AVERAGE(H95:J95),"")</f>
        <v/>
      </c>
      <c r="S95" s="63" t="s">
        <v>261</v>
      </c>
      <c r="T95" s="18" t="n">
        <f aca="false">IF($S95="DROPPED",0,IF(OR($S95="ONE-TIME",$S95="PERIODIC"),$Q95,IF($S95="NEW",440,$P95)))</f>
        <v>440</v>
      </c>
      <c r="U95" s="40"/>
      <c r="V95" s="17" t="str">
        <f aca="false">IF($U95="","",$T95-$U95)</f>
        <v/>
      </c>
      <c r="W95" s="40"/>
      <c r="X95" s="7"/>
    </row>
    <row r="96" customFormat="false" ht="15" hidden="false" customHeight="false" outlineLevel="0" collapsed="false">
      <c r="A96" s="42" t="s">
        <v>284</v>
      </c>
      <c r="B96" s="42" t="s">
        <v>512</v>
      </c>
      <c r="C96" s="42" t="s">
        <v>465</v>
      </c>
      <c r="D96" s="42" t="s">
        <v>62</v>
      </c>
      <c r="E96" s="54"/>
      <c r="F96" s="42" t="s">
        <v>62</v>
      </c>
      <c r="G96" s="40" t="n">
        <v>0</v>
      </c>
      <c r="H96" s="40" t="n">
        <v>0</v>
      </c>
      <c r="I96" s="40" t="n">
        <v>399</v>
      </c>
      <c r="J96" s="40" t="n">
        <v>0</v>
      </c>
      <c r="K96" s="40" t="n">
        <v>0</v>
      </c>
      <c r="L96" s="40" t="n">
        <v>0</v>
      </c>
      <c r="M96" s="40" t="n">
        <v>0</v>
      </c>
      <c r="N96" s="40" t="n">
        <v>0</v>
      </c>
      <c r="O96" s="17" t="n">
        <f aca="false">SUM(G96:N96)</f>
        <v>399</v>
      </c>
      <c r="P96" s="17" t="n">
        <f aca="false">AVERAGE(K96:M96)</f>
        <v>0</v>
      </c>
      <c r="Q96" s="17" t="n">
        <f aca="false">O96/7.6774</f>
        <v>51.9707192539141</v>
      </c>
      <c r="R96" s="55" t="n">
        <f aca="false">IFERROR(AVERAGE(K96:M96)/AVERAGE(H96:J96),"")</f>
        <v>0</v>
      </c>
      <c r="S96" s="60" t="s">
        <v>285</v>
      </c>
      <c r="T96" s="18" t="n">
        <f aca="false">IF($S96="DROPPED",0,IF(OR($S96="ONE-TIME",$S96="PERIODIC"),$Q96,IF($S96="NEW",51.97,$P96)))</f>
        <v>51.9707192539141</v>
      </c>
      <c r="U96" s="40" t="n">
        <v>33.25</v>
      </c>
      <c r="V96" s="17" t="n">
        <f aca="false">IF($U96="","",$T96-$U96)</f>
        <v>18.7207192539141</v>
      </c>
      <c r="W96" s="40"/>
      <c r="X96" s="7"/>
    </row>
    <row r="97" customFormat="false" ht="15" hidden="false" customHeight="false" outlineLevel="0" collapsed="false">
      <c r="A97" s="42" t="s">
        <v>349</v>
      </c>
      <c r="B97" s="42" t="s">
        <v>472</v>
      </c>
      <c r="C97" s="42" t="s">
        <v>71</v>
      </c>
      <c r="D97" s="42" t="s">
        <v>67</v>
      </c>
      <c r="E97" s="57" t="s">
        <v>464</v>
      </c>
      <c r="F97" s="42" t="s">
        <v>67</v>
      </c>
      <c r="G97" s="40" t="n">
        <v>0</v>
      </c>
      <c r="H97" s="40" t="n">
        <v>0</v>
      </c>
      <c r="I97" s="40" t="n">
        <v>0</v>
      </c>
      <c r="J97" s="40" t="n">
        <v>0</v>
      </c>
      <c r="K97" s="40" t="n">
        <v>0</v>
      </c>
      <c r="L97" s="40" t="n">
        <v>390</v>
      </c>
      <c r="M97" s="40" t="n">
        <v>0</v>
      </c>
      <c r="N97" s="40" t="n">
        <v>0</v>
      </c>
      <c r="O97" s="17" t="n">
        <f aca="false">SUM(G97:N97)</f>
        <v>390</v>
      </c>
      <c r="P97" s="17" t="n">
        <f aca="false">AVERAGE(K97:M97)</f>
        <v>130</v>
      </c>
      <c r="Q97" s="17" t="n">
        <f aca="false">O97/7.6774</f>
        <v>50.7984473910438</v>
      </c>
      <c r="R97" s="55" t="str">
        <f aca="false">IFERROR(AVERAGE(K97:M97)/AVERAGE(H97:J97),"")</f>
        <v/>
      </c>
      <c r="S97" s="63" t="s">
        <v>261</v>
      </c>
      <c r="T97" s="18" t="n">
        <f aca="false">IF($S97="DROPPED",0,IF(OR($S97="ONE-TIME",$S97="PERIODIC"),$Q97,IF($S97="NEW",195,$P97)))</f>
        <v>195</v>
      </c>
      <c r="U97" s="40" t="n">
        <v>32.5</v>
      </c>
      <c r="V97" s="17" t="n">
        <f aca="false">IF($U97="","",$T97-$U97)</f>
        <v>162.5</v>
      </c>
      <c r="W97" s="40"/>
      <c r="X97" s="7"/>
    </row>
    <row r="98" customFormat="false" ht="15" hidden="false" customHeight="false" outlineLevel="0" collapsed="false">
      <c r="A98" s="42" t="s">
        <v>281</v>
      </c>
      <c r="B98" s="42" t="s">
        <v>474</v>
      </c>
      <c r="C98" s="42" t="s">
        <v>465</v>
      </c>
      <c r="D98" s="42" t="s">
        <v>62</v>
      </c>
      <c r="E98" s="54"/>
      <c r="F98" s="42" t="s">
        <v>62</v>
      </c>
      <c r="G98" s="40" t="n">
        <v>0</v>
      </c>
      <c r="H98" s="40" t="n">
        <v>0</v>
      </c>
      <c r="I98" s="40" t="n">
        <v>0</v>
      </c>
      <c r="J98" s="40" t="n">
        <v>0</v>
      </c>
      <c r="K98" s="40" t="n">
        <v>0</v>
      </c>
      <c r="L98" s="40" t="n">
        <v>319.4</v>
      </c>
      <c r="M98" s="40" t="n">
        <v>0</v>
      </c>
      <c r="N98" s="40" t="n">
        <v>0</v>
      </c>
      <c r="O98" s="17" t="n">
        <f aca="false">SUM(G98:N98)</f>
        <v>319.4</v>
      </c>
      <c r="P98" s="17" t="n">
        <f aca="false">AVERAGE(K98:M98)</f>
        <v>106.466666666667</v>
      </c>
      <c r="Q98" s="17" t="n">
        <f aca="false">O98/7.6774</f>
        <v>41.6026258889728</v>
      </c>
      <c r="R98" s="55" t="str">
        <f aca="false">IFERROR(AVERAGE(K98:M98)/AVERAGE(H98:J98),"")</f>
        <v/>
      </c>
      <c r="S98" s="63" t="s">
        <v>261</v>
      </c>
      <c r="T98" s="18" t="n">
        <f aca="false">IF($S98="DROPPED",0,IF(OR($S98="ONE-TIME",$S98="PERIODIC"),$Q98,IF($S98="NEW",159.7,$P98)))</f>
        <v>159.7</v>
      </c>
      <c r="U98" s="40" t="n">
        <v>26.62</v>
      </c>
      <c r="V98" s="17" t="n">
        <f aca="false">IF($U98="","",$T98-$U98)</f>
        <v>133.08</v>
      </c>
      <c r="W98" s="40"/>
      <c r="X98" s="7"/>
    </row>
    <row r="99" customFormat="false" ht="15" hidden="false" customHeight="false" outlineLevel="0" collapsed="false">
      <c r="A99" s="42" t="s">
        <v>312</v>
      </c>
      <c r="B99" s="42" t="s">
        <v>500</v>
      </c>
      <c r="C99" s="42" t="s">
        <v>71</v>
      </c>
      <c r="D99" s="42" t="s">
        <v>63</v>
      </c>
      <c r="E99" s="57" t="s">
        <v>464</v>
      </c>
      <c r="F99" s="42" t="s">
        <v>63</v>
      </c>
      <c r="G99" s="40" t="n">
        <v>36.49</v>
      </c>
      <c r="H99" s="40" t="n">
        <v>39</v>
      </c>
      <c r="I99" s="40" t="n">
        <v>39</v>
      </c>
      <c r="J99" s="40" t="n">
        <v>39</v>
      </c>
      <c r="K99" s="40" t="n">
        <v>34.65</v>
      </c>
      <c r="L99" s="40" t="n">
        <v>35.24</v>
      </c>
      <c r="M99" s="40" t="n">
        <v>36.73</v>
      </c>
      <c r="N99" s="40" t="n">
        <v>35.26</v>
      </c>
      <c r="O99" s="17" t="n">
        <f aca="false">SUM(G99:N99)</f>
        <v>295.37</v>
      </c>
      <c r="P99" s="17" t="n">
        <f aca="false">AVERAGE(K99:M99)</f>
        <v>35.54</v>
      </c>
      <c r="Q99" s="17" t="n">
        <f aca="false">O99/7.6774</f>
        <v>38.4726600151093</v>
      </c>
      <c r="R99" s="55" t="n">
        <f aca="false">IFERROR(AVERAGE(K99:M99)/AVERAGE(H99:J99),"")</f>
        <v>0.911282051282051</v>
      </c>
      <c r="S99" s="56" t="s">
        <v>253</v>
      </c>
      <c r="T99" s="18" t="n">
        <f aca="false">IF($S99="DROPPED",0,IF(OR($S99="ONE-TIME",$S99="PERIODIC"),$Q99,IF($S99="NEW",35.54,$P99)))</f>
        <v>35.54</v>
      </c>
      <c r="U99" s="40" t="n">
        <v>39</v>
      </c>
      <c r="V99" s="17" t="n">
        <f aca="false">IF($U99="","",$T99-$U99)</f>
        <v>-3.46</v>
      </c>
      <c r="W99" s="40"/>
      <c r="X99" s="7"/>
    </row>
    <row r="100" customFormat="false" ht="15" hidden="false" customHeight="false" outlineLevel="0" collapsed="false">
      <c r="A100" s="42" t="s">
        <v>424</v>
      </c>
      <c r="B100" s="42" t="s">
        <v>490</v>
      </c>
      <c r="C100" s="42" t="s">
        <v>465</v>
      </c>
      <c r="D100" s="42" t="s">
        <v>465</v>
      </c>
      <c r="E100" s="54"/>
      <c r="F100" s="42" t="s">
        <v>72</v>
      </c>
      <c r="G100" s="40" t="n">
        <v>0</v>
      </c>
      <c r="H100" s="40" t="n">
        <v>0</v>
      </c>
      <c r="I100" s="40" t="n">
        <v>288</v>
      </c>
      <c r="J100" s="40" t="n">
        <v>0</v>
      </c>
      <c r="K100" s="40" t="n">
        <v>0</v>
      </c>
      <c r="L100" s="40" t="n">
        <v>0</v>
      </c>
      <c r="M100" s="40" t="n">
        <v>0</v>
      </c>
      <c r="N100" s="40" t="n">
        <v>0</v>
      </c>
      <c r="O100" s="17" t="n">
        <f aca="false">SUM(G100:N100)</f>
        <v>288</v>
      </c>
      <c r="P100" s="17" t="n">
        <f aca="false">AVERAGE(K100:M100)</f>
        <v>0</v>
      </c>
      <c r="Q100" s="17" t="n">
        <f aca="false">O100/7.6774</f>
        <v>37.5126996118478</v>
      </c>
      <c r="R100" s="55" t="n">
        <f aca="false">IFERROR(AVERAGE(K100:M100)/AVERAGE(H100:J100),"")</f>
        <v>0</v>
      </c>
      <c r="S100" s="60" t="s">
        <v>285</v>
      </c>
      <c r="T100" s="18" t="n">
        <f aca="false">IF($S100="DROPPED",0,IF(OR($S100="ONE-TIME",$S100="PERIODIC"),$Q100,IF($S100="NEW",37.51,$P100)))</f>
        <v>37.5126996118478</v>
      </c>
      <c r="U100" s="40"/>
      <c r="V100" s="17" t="str">
        <f aca="false">IF($U100="","",$T100-$U100)</f>
        <v/>
      </c>
      <c r="W100" s="40"/>
      <c r="X100" s="7"/>
    </row>
    <row r="101" customFormat="false" ht="15" hidden="false" customHeight="false" outlineLevel="0" collapsed="false">
      <c r="A101" s="42" t="s">
        <v>313</v>
      </c>
      <c r="B101" s="42" t="s">
        <v>512</v>
      </c>
      <c r="C101" s="42" t="s">
        <v>63</v>
      </c>
      <c r="D101" s="42" t="s">
        <v>465</v>
      </c>
      <c r="E101" s="54"/>
      <c r="F101" s="42" t="s">
        <v>63</v>
      </c>
      <c r="G101" s="40" t="n">
        <v>34.95</v>
      </c>
      <c r="H101" s="40" t="n">
        <v>34.95</v>
      </c>
      <c r="I101" s="40" t="n">
        <v>34.95</v>
      </c>
      <c r="J101" s="40" t="n">
        <v>34.95</v>
      </c>
      <c r="K101" s="40" t="n">
        <v>34.95</v>
      </c>
      <c r="L101" s="40" t="n">
        <v>34.95</v>
      </c>
      <c r="M101" s="40" t="n">
        <v>34.95</v>
      </c>
      <c r="N101" s="40" t="n">
        <v>34.95</v>
      </c>
      <c r="O101" s="17" t="n">
        <f aca="false">SUM(G101:N101)</f>
        <v>279.6</v>
      </c>
      <c r="P101" s="17" t="n">
        <f aca="false">AVERAGE(K101:M101)</f>
        <v>34.95</v>
      </c>
      <c r="Q101" s="17" t="n">
        <f aca="false">O101/7.6774</f>
        <v>36.4185792065022</v>
      </c>
      <c r="R101" s="55" t="n">
        <f aca="false">IFERROR(AVERAGE(K101:M101)/AVERAGE(H101:J101),"")</f>
        <v>1</v>
      </c>
      <c r="S101" s="56" t="s">
        <v>253</v>
      </c>
      <c r="T101" s="18" t="n">
        <f aca="false">IF($S101="DROPPED",0,IF(OR($S101="ONE-TIME",$S101="PERIODIC"),$Q101,IF($S101="NEW",34.95,$P101)))</f>
        <v>34.95</v>
      </c>
      <c r="U101" s="40"/>
      <c r="V101" s="17" t="str">
        <f aca="false">IF($U101="","",$T101-$U101)</f>
        <v/>
      </c>
      <c r="W101" s="40"/>
      <c r="X101" s="7"/>
    </row>
    <row r="102" customFormat="false" ht="15" hidden="false" customHeight="false" outlineLevel="0" collapsed="false">
      <c r="A102" s="42" t="s">
        <v>426</v>
      </c>
      <c r="B102" s="42" t="s">
        <v>497</v>
      </c>
      <c r="C102" s="42" t="s">
        <v>465</v>
      </c>
      <c r="D102" s="42" t="s">
        <v>465</v>
      </c>
      <c r="E102" s="54"/>
      <c r="F102" s="42" t="s">
        <v>72</v>
      </c>
      <c r="G102" s="40" t="n">
        <v>0</v>
      </c>
      <c r="H102" s="40" t="n">
        <v>0</v>
      </c>
      <c r="I102" s="40" t="n">
        <v>277.18</v>
      </c>
      <c r="J102" s="40" t="n">
        <v>0</v>
      </c>
      <c r="K102" s="40" t="n">
        <v>0</v>
      </c>
      <c r="L102" s="40" t="n">
        <v>0</v>
      </c>
      <c r="M102" s="40" t="n">
        <v>0</v>
      </c>
      <c r="N102" s="40" t="n">
        <v>0</v>
      </c>
      <c r="O102" s="17" t="n">
        <f aca="false">SUM(G102:N102)</f>
        <v>277.18</v>
      </c>
      <c r="P102" s="17" t="n">
        <f aca="false">AVERAGE(K102:M102)</f>
        <v>0</v>
      </c>
      <c r="Q102" s="17" t="n">
        <f aca="false">O102/7.6774</f>
        <v>36.1033683278193</v>
      </c>
      <c r="R102" s="55" t="n">
        <f aca="false">IFERROR(AVERAGE(K102:M102)/AVERAGE(H102:J102),"")</f>
        <v>0</v>
      </c>
      <c r="S102" s="60" t="s">
        <v>285</v>
      </c>
      <c r="T102" s="18" t="n">
        <f aca="false">IF($S102="DROPPED",0,IF(OR($S102="ONE-TIME",$S102="PERIODIC"),$Q102,IF($S102="NEW",36.1,$P102)))</f>
        <v>36.1033683278193</v>
      </c>
      <c r="U102" s="40"/>
      <c r="V102" s="17" t="str">
        <f aca="false">IF($U102="","",$T102-$U102)</f>
        <v/>
      </c>
      <c r="W102" s="40"/>
      <c r="X102" s="7"/>
    </row>
    <row r="103" customFormat="false" ht="15" hidden="false" customHeight="false" outlineLevel="0" collapsed="false">
      <c r="A103" s="42" t="s">
        <v>427</v>
      </c>
      <c r="B103" s="42" t="s">
        <v>487</v>
      </c>
      <c r="C103" s="42" t="s">
        <v>465</v>
      </c>
      <c r="D103" s="42" t="s">
        <v>465</v>
      </c>
      <c r="E103" s="54"/>
      <c r="F103" s="42" t="s">
        <v>72</v>
      </c>
      <c r="G103" s="40" t="n">
        <v>277</v>
      </c>
      <c r="H103" s="40" t="n">
        <v>0</v>
      </c>
      <c r="I103" s="40" t="n">
        <v>0</v>
      </c>
      <c r="J103" s="40" t="n">
        <v>0</v>
      </c>
      <c r="K103" s="40" t="n">
        <v>0</v>
      </c>
      <c r="L103" s="40" t="n">
        <v>0</v>
      </c>
      <c r="M103" s="40" t="n">
        <v>0</v>
      </c>
      <c r="N103" s="40" t="n">
        <v>0</v>
      </c>
      <c r="O103" s="17" t="n">
        <f aca="false">SUM(G103:N103)</f>
        <v>277</v>
      </c>
      <c r="P103" s="17" t="n">
        <f aca="false">AVERAGE(K103:M103)</f>
        <v>0</v>
      </c>
      <c r="Q103" s="17" t="n">
        <f aca="false">O103/7.6774</f>
        <v>36.0799228905619</v>
      </c>
      <c r="R103" s="55" t="str">
        <f aca="false">IFERROR(AVERAGE(K103:M103)/AVERAGE(H103:J103),"")</f>
        <v/>
      </c>
      <c r="S103" s="60" t="s">
        <v>285</v>
      </c>
      <c r="T103" s="18" t="n">
        <f aca="false">IF($S103="DROPPED",0,IF(OR($S103="ONE-TIME",$S103="PERIODIC"),$Q103,IF($S103="NEW",36.08,$P103)))</f>
        <v>36.0799228905619</v>
      </c>
      <c r="U103" s="40"/>
      <c r="V103" s="17" t="str">
        <f aca="false">IF($U103="","",$T103-$U103)</f>
        <v/>
      </c>
      <c r="W103" s="40"/>
      <c r="X103" s="7"/>
    </row>
    <row r="104" customFormat="false" ht="15" hidden="false" customHeight="false" outlineLevel="0" collapsed="false">
      <c r="A104" s="42" t="s">
        <v>429</v>
      </c>
      <c r="B104" s="42" t="s">
        <v>492</v>
      </c>
      <c r="C104" s="42" t="s">
        <v>465</v>
      </c>
      <c r="D104" s="42" t="s">
        <v>465</v>
      </c>
      <c r="E104" s="54"/>
      <c r="F104" s="42" t="s">
        <v>72</v>
      </c>
      <c r="G104" s="40" t="n">
        <v>59.98</v>
      </c>
      <c r="H104" s="40" t="n">
        <v>0</v>
      </c>
      <c r="I104" s="40" t="n">
        <v>59.98</v>
      </c>
      <c r="J104" s="40" t="n">
        <v>0</v>
      </c>
      <c r="K104" s="40" t="n">
        <v>29.99</v>
      </c>
      <c r="L104" s="40" t="n">
        <v>59.98</v>
      </c>
      <c r="M104" s="40" t="n">
        <v>0</v>
      </c>
      <c r="N104" s="40" t="n">
        <v>59.98</v>
      </c>
      <c r="O104" s="17" t="n">
        <f aca="false">SUM(G104:N104)</f>
        <v>269.91</v>
      </c>
      <c r="P104" s="17" t="n">
        <f aca="false">AVERAGE(K104:M104)</f>
        <v>29.99</v>
      </c>
      <c r="Q104" s="17" t="n">
        <f aca="false">O104/7.6774</f>
        <v>35.1564331674786</v>
      </c>
      <c r="R104" s="55" t="n">
        <f aca="false">IFERROR(AVERAGE(K104:M104)/AVERAGE(H104:J104),"")</f>
        <v>1.5</v>
      </c>
      <c r="S104" s="56" t="s">
        <v>253</v>
      </c>
      <c r="T104" s="18" t="n">
        <f aca="false">IF($S104="DROPPED",0,IF(OR($S104="ONE-TIME",$S104="PERIODIC"),$Q104,IF($S104="NEW",29.99,$P104)))</f>
        <v>29.99</v>
      </c>
      <c r="U104" s="40"/>
      <c r="V104" s="17" t="str">
        <f aca="false">IF($U104="","",$T104-$U104)</f>
        <v/>
      </c>
      <c r="W104" s="40"/>
      <c r="X104" s="7"/>
    </row>
    <row r="105" customFormat="false" ht="15" hidden="false" customHeight="false" outlineLevel="0" collapsed="false">
      <c r="A105" s="42" t="s">
        <v>391</v>
      </c>
      <c r="B105" s="42" t="s">
        <v>518</v>
      </c>
      <c r="C105" s="42" t="s">
        <v>69</v>
      </c>
      <c r="D105" s="42" t="s">
        <v>465</v>
      </c>
      <c r="E105" s="54"/>
      <c r="F105" s="42" t="s">
        <v>69</v>
      </c>
      <c r="G105" s="40" t="n">
        <v>0</v>
      </c>
      <c r="H105" s="40" t="n">
        <v>0</v>
      </c>
      <c r="I105" s="40" t="n">
        <v>0</v>
      </c>
      <c r="J105" s="40" t="n">
        <v>0</v>
      </c>
      <c r="K105" s="40" t="n">
        <v>0</v>
      </c>
      <c r="L105" s="40" t="n">
        <v>136.21</v>
      </c>
      <c r="M105" s="40" t="n">
        <v>56.37</v>
      </c>
      <c r="N105" s="40" t="n">
        <v>74.98</v>
      </c>
      <c r="O105" s="17" t="n">
        <f aca="false">SUM(G105:N105)</f>
        <v>267.56</v>
      </c>
      <c r="P105" s="17" t="n">
        <f aca="false">AVERAGE(K105:M105)</f>
        <v>64.1933333333333</v>
      </c>
      <c r="Q105" s="17" t="n">
        <f aca="false">O105/7.6774</f>
        <v>34.8503399588402</v>
      </c>
      <c r="R105" s="55" t="str">
        <f aca="false">IFERROR(AVERAGE(K105:M105)/AVERAGE(H105:J105),"")</f>
        <v/>
      </c>
      <c r="S105" s="63" t="s">
        <v>261</v>
      </c>
      <c r="T105" s="18" t="n">
        <f aca="false">IF($S105="DROPPED",0,IF(OR($S105="ONE-TIME",$S105="PERIODIC"),$Q105,IF($S105="NEW",96.29,$P105)))</f>
        <v>96.29</v>
      </c>
      <c r="U105" s="40"/>
      <c r="V105" s="17" t="str">
        <f aca="false">IF($U105="","",$T105-$U105)</f>
        <v/>
      </c>
      <c r="W105" s="40"/>
      <c r="X105" s="7"/>
    </row>
    <row r="106" customFormat="false" ht="15" hidden="false" customHeight="false" outlineLevel="0" collapsed="false">
      <c r="A106" s="42" t="s">
        <v>428</v>
      </c>
      <c r="B106" s="42" t="s">
        <v>493</v>
      </c>
      <c r="C106" s="42" t="s">
        <v>465</v>
      </c>
      <c r="D106" s="42" t="s">
        <v>465</v>
      </c>
      <c r="E106" s="54"/>
      <c r="F106" s="42" t="s">
        <v>72</v>
      </c>
      <c r="G106" s="40" t="n">
        <v>248.67</v>
      </c>
      <c r="H106" s="40" t="n">
        <v>0</v>
      </c>
      <c r="I106" s="40" t="n">
        <v>0</v>
      </c>
      <c r="J106" s="40" t="n">
        <v>0</v>
      </c>
      <c r="K106" s="40" t="n">
        <v>0</v>
      </c>
      <c r="L106" s="40" t="n">
        <v>0</v>
      </c>
      <c r="M106" s="40" t="n">
        <v>0</v>
      </c>
      <c r="N106" s="40" t="n">
        <v>0</v>
      </c>
      <c r="O106" s="17" t="n">
        <f aca="false">SUM(G106:N106)</f>
        <v>248.67</v>
      </c>
      <c r="P106" s="17" t="n">
        <f aca="false">AVERAGE(K106:M106)</f>
        <v>0</v>
      </c>
      <c r="Q106" s="17" t="n">
        <f aca="false">O106/7.6774</f>
        <v>32.3898715711048</v>
      </c>
      <c r="R106" s="55" t="str">
        <f aca="false">IFERROR(AVERAGE(K106:M106)/AVERAGE(H106:J106),"")</f>
        <v/>
      </c>
      <c r="S106" s="60" t="s">
        <v>285</v>
      </c>
      <c r="T106" s="18" t="n">
        <f aca="false">IF($S106="DROPPED",0,IF(OR($S106="ONE-TIME",$S106="PERIODIC"),$Q106,IF($S106="NEW",32.39,$P106)))</f>
        <v>32.3898715711048</v>
      </c>
      <c r="U106" s="40"/>
      <c r="V106" s="17" t="str">
        <f aca="false">IF($U106="","",$T106-$U106)</f>
        <v/>
      </c>
      <c r="W106" s="40"/>
      <c r="X106" s="7"/>
    </row>
    <row r="107" customFormat="false" ht="15" hidden="false" customHeight="false" outlineLevel="0" collapsed="false">
      <c r="A107" s="42" t="s">
        <v>382</v>
      </c>
      <c r="B107" s="42" t="s">
        <v>472</v>
      </c>
      <c r="C107" s="42" t="s">
        <v>68</v>
      </c>
      <c r="D107" s="42" t="s">
        <v>465</v>
      </c>
      <c r="E107" s="54"/>
      <c r="F107" s="42" t="s">
        <v>68</v>
      </c>
      <c r="G107" s="40" t="n">
        <v>0</v>
      </c>
      <c r="H107" s="40" t="n">
        <v>0</v>
      </c>
      <c r="I107" s="40" t="n">
        <v>0</v>
      </c>
      <c r="J107" s="40" t="n">
        <v>0</v>
      </c>
      <c r="K107" s="40" t="n">
        <v>232.19</v>
      </c>
      <c r="L107" s="40" t="n">
        <v>0</v>
      </c>
      <c r="M107" s="40" t="n">
        <v>0</v>
      </c>
      <c r="N107" s="40" t="n">
        <v>0</v>
      </c>
      <c r="O107" s="17" t="n">
        <f aca="false">SUM(G107:N107)</f>
        <v>232.19</v>
      </c>
      <c r="P107" s="17" t="n">
        <f aca="false">AVERAGE(K107:M107)</f>
        <v>77.3966666666667</v>
      </c>
      <c r="Q107" s="17" t="n">
        <f aca="false">O107/7.6774</f>
        <v>30.2433115377602</v>
      </c>
      <c r="R107" s="55" t="str">
        <f aca="false">IFERROR(AVERAGE(K107:M107)/AVERAGE(H107:J107),"")</f>
        <v/>
      </c>
      <c r="S107" s="63" t="s">
        <v>261</v>
      </c>
      <c r="T107" s="18" t="n">
        <f aca="false">IF($S107="DROPPED",0,IF(OR($S107="ONE-TIME",$S107="PERIODIC"),$Q107,IF($S107="NEW",77.4,$P107)))</f>
        <v>77.4</v>
      </c>
      <c r="U107" s="40"/>
      <c r="V107" s="17" t="str">
        <f aca="false">IF($U107="","",$T107-$U107)</f>
        <v/>
      </c>
      <c r="W107" s="40"/>
      <c r="X107" s="7"/>
    </row>
    <row r="108" customFormat="false" ht="15" hidden="false" customHeight="false" outlineLevel="0" collapsed="false">
      <c r="A108" s="42" t="s">
        <v>386</v>
      </c>
      <c r="B108" s="42" t="s">
        <v>493</v>
      </c>
      <c r="C108" s="42" t="s">
        <v>68</v>
      </c>
      <c r="D108" s="42" t="s">
        <v>465</v>
      </c>
      <c r="E108" s="54"/>
      <c r="F108" s="42" t="s">
        <v>68</v>
      </c>
      <c r="G108" s="40" t="n">
        <v>230</v>
      </c>
      <c r="H108" s="40" t="n">
        <v>0</v>
      </c>
      <c r="I108" s="40" t="n">
        <v>0</v>
      </c>
      <c r="J108" s="40" t="n">
        <v>0</v>
      </c>
      <c r="K108" s="40" t="n">
        <v>0</v>
      </c>
      <c r="L108" s="40" t="n">
        <v>0</v>
      </c>
      <c r="M108" s="40" t="n">
        <v>0</v>
      </c>
      <c r="N108" s="40" t="n">
        <v>0</v>
      </c>
      <c r="O108" s="17" t="n">
        <f aca="false">SUM(G108:N108)</f>
        <v>230</v>
      </c>
      <c r="P108" s="17" t="n">
        <f aca="false">AVERAGE(K108:M108)</f>
        <v>0</v>
      </c>
      <c r="Q108" s="17" t="n">
        <f aca="false">O108/7.6774</f>
        <v>29.9580587177951</v>
      </c>
      <c r="R108" s="55" t="str">
        <f aca="false">IFERROR(AVERAGE(K108:M108)/AVERAGE(H108:J108),"")</f>
        <v/>
      </c>
      <c r="S108" s="60" t="s">
        <v>285</v>
      </c>
      <c r="T108" s="18" t="n">
        <f aca="false">IF($S108="DROPPED",0,IF(OR($S108="ONE-TIME",$S108="PERIODIC"),$Q108,IF($S108="NEW",29.96,$P108)))</f>
        <v>29.9580587177951</v>
      </c>
      <c r="U108" s="40"/>
      <c r="V108" s="17" t="str">
        <f aca="false">IF($U108="","",$T108-$U108)</f>
        <v/>
      </c>
      <c r="W108" s="40"/>
      <c r="X108" s="7"/>
    </row>
    <row r="109" customFormat="false" ht="15" hidden="false" customHeight="false" outlineLevel="0" collapsed="false">
      <c r="A109" s="42" t="s">
        <v>430</v>
      </c>
      <c r="B109" s="42" t="s">
        <v>497</v>
      </c>
      <c r="C109" s="42" t="s">
        <v>465</v>
      </c>
      <c r="D109" s="42" t="s">
        <v>465</v>
      </c>
      <c r="E109" s="54"/>
      <c r="F109" s="42" t="s">
        <v>72</v>
      </c>
      <c r="G109" s="40" t="n">
        <v>0</v>
      </c>
      <c r="H109" s="40" t="n">
        <v>0</v>
      </c>
      <c r="I109" s="40" t="n">
        <v>229.62</v>
      </c>
      <c r="J109" s="40" t="n">
        <v>0</v>
      </c>
      <c r="K109" s="40" t="n">
        <v>0</v>
      </c>
      <c r="L109" s="40" t="n">
        <v>0</v>
      </c>
      <c r="M109" s="40" t="n">
        <v>0</v>
      </c>
      <c r="N109" s="40" t="n">
        <v>0</v>
      </c>
      <c r="O109" s="17" t="n">
        <f aca="false">SUM(G109:N109)</f>
        <v>229.62</v>
      </c>
      <c r="P109" s="17" t="n">
        <f aca="false">AVERAGE(K109:M109)</f>
        <v>0</v>
      </c>
      <c r="Q109" s="17" t="n">
        <f aca="false">O109/7.6774</f>
        <v>29.9085627946961</v>
      </c>
      <c r="R109" s="55" t="n">
        <f aca="false">IFERROR(AVERAGE(K109:M109)/AVERAGE(H109:J109),"")</f>
        <v>0</v>
      </c>
      <c r="S109" s="60" t="s">
        <v>285</v>
      </c>
      <c r="T109" s="18" t="n">
        <f aca="false">IF($S109="DROPPED",0,IF(OR($S109="ONE-TIME",$S109="PERIODIC"),$Q109,IF($S109="NEW",29.91,$P109)))</f>
        <v>29.9085627946961</v>
      </c>
      <c r="U109" s="40"/>
      <c r="V109" s="17" t="str">
        <f aca="false">IF($U109="","",$T109-$U109)</f>
        <v/>
      </c>
      <c r="W109" s="40"/>
      <c r="X109" s="7"/>
    </row>
    <row r="110" customFormat="false" ht="15" hidden="false" customHeight="false" outlineLevel="0" collapsed="false">
      <c r="A110" s="42" t="s">
        <v>425</v>
      </c>
      <c r="B110" s="42" t="s">
        <v>500</v>
      </c>
      <c r="C110" s="42" t="s">
        <v>465</v>
      </c>
      <c r="D110" s="42" t="s">
        <v>465</v>
      </c>
      <c r="E110" s="54"/>
      <c r="F110" s="42" t="s">
        <v>72</v>
      </c>
      <c r="G110" s="40" t="n">
        <v>25</v>
      </c>
      <c r="H110" s="40" t="n">
        <v>25</v>
      </c>
      <c r="I110" s="40" t="n">
        <v>31.77</v>
      </c>
      <c r="J110" s="40" t="n">
        <v>35</v>
      </c>
      <c r="K110" s="40" t="n">
        <v>35</v>
      </c>
      <c r="L110" s="40" t="n">
        <v>35</v>
      </c>
      <c r="M110" s="40" t="n">
        <v>39.84</v>
      </c>
      <c r="N110" s="40" t="n">
        <v>0</v>
      </c>
      <c r="O110" s="17" t="n">
        <f aca="false">SUM(G110:N110)</f>
        <v>226.61</v>
      </c>
      <c r="P110" s="17" t="n">
        <f aca="false">AVERAGE(K110:M110)</f>
        <v>36.6133333333333</v>
      </c>
      <c r="Q110" s="17" t="n">
        <f aca="false">O110/7.6774</f>
        <v>29.5165029827806</v>
      </c>
      <c r="R110" s="55" t="n">
        <f aca="false">IFERROR(AVERAGE(K110:M110)/AVERAGE(H110:J110),"")</f>
        <v>1.19690530674512</v>
      </c>
      <c r="S110" s="56" t="s">
        <v>253</v>
      </c>
      <c r="T110" s="18" t="n">
        <f aca="false">IF($S110="DROPPED",0,IF(OR($S110="ONE-TIME",$S110="PERIODIC"),$Q110,IF($S110="NEW",36.61,$P110)))</f>
        <v>36.6133333333333</v>
      </c>
      <c r="U110" s="40"/>
      <c r="V110" s="17" t="str">
        <f aca="false">IF($U110="","",$T110-$U110)</f>
        <v/>
      </c>
      <c r="W110" s="40"/>
      <c r="X110" s="7"/>
    </row>
    <row r="111" customFormat="false" ht="15" hidden="false" customHeight="false" outlineLevel="0" collapsed="false">
      <c r="A111" s="42" t="s">
        <v>286</v>
      </c>
      <c r="B111" s="42" t="s">
        <v>500</v>
      </c>
      <c r="C111" s="42" t="s">
        <v>62</v>
      </c>
      <c r="D111" s="42" t="s">
        <v>62</v>
      </c>
      <c r="E111" s="54"/>
      <c r="F111" s="42" t="s">
        <v>62</v>
      </c>
      <c r="G111" s="40" t="n">
        <v>18.68</v>
      </c>
      <c r="H111" s="40" t="n">
        <v>18.68</v>
      </c>
      <c r="I111" s="40" t="n">
        <v>37.36</v>
      </c>
      <c r="J111" s="40" t="n">
        <v>0</v>
      </c>
      <c r="K111" s="40" t="n">
        <v>74.72</v>
      </c>
      <c r="L111" s="40" t="n">
        <v>56.64</v>
      </c>
      <c r="M111" s="40" t="n">
        <v>18.68</v>
      </c>
      <c r="N111" s="40" t="n">
        <v>0</v>
      </c>
      <c r="O111" s="17" t="n">
        <f aca="false">SUM(G111:N111)</f>
        <v>224.76</v>
      </c>
      <c r="P111" s="17" t="n">
        <f aca="false">AVERAGE(K111:M111)</f>
        <v>50.0133333333333</v>
      </c>
      <c r="Q111" s="17" t="n">
        <f aca="false">O111/7.6774</f>
        <v>29.2755359887462</v>
      </c>
      <c r="R111" s="55" t="n">
        <f aca="false">IFERROR(AVERAGE(K111:M111)/AVERAGE(H111:J111),"")</f>
        <v>2.6773733047823</v>
      </c>
      <c r="S111" s="56" t="s">
        <v>253</v>
      </c>
      <c r="T111" s="18" t="n">
        <f aca="false">IF($S111="DROPPED",0,IF(OR($S111="ONE-TIME",$S111="PERIODIC"),$Q111,IF($S111="NEW",50.01,$P111)))</f>
        <v>50.0133333333333</v>
      </c>
      <c r="U111" s="40" t="n">
        <v>38.24</v>
      </c>
      <c r="V111" s="17" t="n">
        <f aca="false">IF($U111="","",$T111-$U111)</f>
        <v>11.7733333333333</v>
      </c>
      <c r="W111" s="40"/>
      <c r="X111" s="7"/>
    </row>
    <row r="112" customFormat="false" ht="15" hidden="false" customHeight="false" outlineLevel="0" collapsed="false">
      <c r="A112" s="42" t="s">
        <v>422</v>
      </c>
      <c r="B112" s="42" t="s">
        <v>470</v>
      </c>
      <c r="C112" s="42" t="s">
        <v>465</v>
      </c>
      <c r="D112" s="42" t="s">
        <v>465</v>
      </c>
      <c r="E112" s="54"/>
      <c r="F112" s="42" t="s">
        <v>72</v>
      </c>
      <c r="G112" s="40" t="n">
        <v>0</v>
      </c>
      <c r="H112" s="40" t="n">
        <v>0</v>
      </c>
      <c r="I112" s="40" t="n">
        <v>0</v>
      </c>
      <c r="J112" s="40" t="n">
        <v>0</v>
      </c>
      <c r="K112" s="40" t="n">
        <v>56</v>
      </c>
      <c r="L112" s="40" t="n">
        <v>53</v>
      </c>
      <c r="M112" s="40" t="n">
        <v>53</v>
      </c>
      <c r="N112" s="40" t="n">
        <v>53</v>
      </c>
      <c r="O112" s="17" t="n">
        <f aca="false">SUM(G112:N112)</f>
        <v>215</v>
      </c>
      <c r="P112" s="17" t="n">
        <f aca="false">AVERAGE(K112:M112)</f>
        <v>54</v>
      </c>
      <c r="Q112" s="17" t="n">
        <f aca="false">O112/7.6774</f>
        <v>28.004272279678</v>
      </c>
      <c r="R112" s="55" t="str">
        <f aca="false">IFERROR(AVERAGE(K112:M112)/AVERAGE(H112:J112),"")</f>
        <v/>
      </c>
      <c r="S112" s="63" t="s">
        <v>261</v>
      </c>
      <c r="T112" s="18" t="n">
        <f aca="false">IF($S112="DROPPED",0,IF(OR($S112="ONE-TIME",$S112="PERIODIC"),$Q112,IF($S112="NEW",54,$P112)))</f>
        <v>54</v>
      </c>
      <c r="U112" s="40"/>
      <c r="V112" s="17" t="str">
        <f aca="false">IF($U112="","",$T112-$U112)</f>
        <v/>
      </c>
      <c r="W112" s="40"/>
      <c r="X112" s="7"/>
    </row>
    <row r="113" customFormat="false" ht="15" hidden="false" customHeight="false" outlineLevel="0" collapsed="false">
      <c r="A113" s="42" t="s">
        <v>419</v>
      </c>
      <c r="B113" s="42" t="s">
        <v>512</v>
      </c>
      <c r="C113" s="42" t="s">
        <v>465</v>
      </c>
      <c r="D113" s="42" t="s">
        <v>465</v>
      </c>
      <c r="E113" s="54"/>
      <c r="F113" s="42" t="s">
        <v>72</v>
      </c>
      <c r="G113" s="40" t="n">
        <v>0</v>
      </c>
      <c r="H113" s="40" t="n">
        <v>0</v>
      </c>
      <c r="I113" s="40" t="n">
        <v>0</v>
      </c>
      <c r="J113" s="40" t="n">
        <v>0</v>
      </c>
      <c r="K113" s="40" t="n">
        <v>209.01</v>
      </c>
      <c r="L113" s="40" t="n">
        <v>0</v>
      </c>
      <c r="M113" s="40" t="n">
        <v>0</v>
      </c>
      <c r="N113" s="40" t="n">
        <v>0</v>
      </c>
      <c r="O113" s="17" t="n">
        <f aca="false">SUM(G113:N113)</f>
        <v>209.01</v>
      </c>
      <c r="P113" s="17" t="n">
        <f aca="false">AVERAGE(K113:M113)</f>
        <v>69.67</v>
      </c>
      <c r="Q113" s="17" t="n">
        <f aca="false">O113/7.6774</f>
        <v>27.2240602287233</v>
      </c>
      <c r="R113" s="55" t="str">
        <f aca="false">IFERROR(AVERAGE(K113:M113)/AVERAGE(H113:J113),"")</f>
        <v/>
      </c>
      <c r="S113" s="63" t="s">
        <v>261</v>
      </c>
      <c r="T113" s="18" t="n">
        <f aca="false">IF($S113="DROPPED",0,IF(OR($S113="ONE-TIME",$S113="PERIODIC"),$Q113,IF($S113="NEW",69.67,$P113)))</f>
        <v>69.67</v>
      </c>
      <c r="U113" s="40"/>
      <c r="V113" s="17" t="str">
        <f aca="false">IF($U113="","",$T113-$U113)</f>
        <v/>
      </c>
      <c r="W113" s="40"/>
      <c r="X113" s="7"/>
    </row>
    <row r="114" customFormat="false" ht="15" hidden="false" customHeight="false" outlineLevel="0" collapsed="false">
      <c r="A114" s="42" t="s">
        <v>357</v>
      </c>
      <c r="B114" s="42" t="s">
        <v>472</v>
      </c>
      <c r="C114" s="42" t="s">
        <v>71</v>
      </c>
      <c r="D114" s="42" t="s">
        <v>67</v>
      </c>
      <c r="E114" s="57" t="s">
        <v>464</v>
      </c>
      <c r="F114" s="42" t="s">
        <v>67</v>
      </c>
      <c r="G114" s="40" t="n">
        <v>0</v>
      </c>
      <c r="H114" s="40" t="n">
        <v>50</v>
      </c>
      <c r="I114" s="40" t="n">
        <v>0</v>
      </c>
      <c r="J114" s="40" t="n">
        <v>50</v>
      </c>
      <c r="K114" s="40" t="n">
        <v>50</v>
      </c>
      <c r="L114" s="40" t="n">
        <v>50</v>
      </c>
      <c r="M114" s="40" t="n">
        <v>0</v>
      </c>
      <c r="N114" s="40" t="n">
        <v>0</v>
      </c>
      <c r="O114" s="17" t="n">
        <f aca="false">SUM(G114:N114)</f>
        <v>200</v>
      </c>
      <c r="P114" s="17" t="n">
        <f aca="false">AVERAGE(K114:M114)</f>
        <v>33.3333333333333</v>
      </c>
      <c r="Q114" s="17" t="n">
        <f aca="false">O114/7.6774</f>
        <v>26.0504858415609</v>
      </c>
      <c r="R114" s="55" t="n">
        <f aca="false">IFERROR(AVERAGE(K114:M114)/AVERAGE(H114:J114),"")</f>
        <v>1</v>
      </c>
      <c r="S114" s="62" t="s">
        <v>291</v>
      </c>
      <c r="T114" s="18" t="n">
        <f aca="false">IF($S114="DROPPED",0,IF(OR($S114="ONE-TIME",$S114="PERIODIC"),$Q114,IF($S114="NEW",26.05,$P114)))</f>
        <v>26.0504858415609</v>
      </c>
      <c r="U114" s="40" t="n">
        <v>33.33</v>
      </c>
      <c r="V114" s="17" t="n">
        <f aca="false">IF($U114="","",$T114-$U114)</f>
        <v>-7.27951415843905</v>
      </c>
      <c r="W114" s="40"/>
      <c r="X114" s="7" t="s">
        <v>519</v>
      </c>
    </row>
    <row r="115" customFormat="false" ht="15" hidden="false" customHeight="false" outlineLevel="0" collapsed="false">
      <c r="A115" s="42" t="s">
        <v>431</v>
      </c>
      <c r="B115" s="42" t="s">
        <v>520</v>
      </c>
      <c r="C115" s="42" t="s">
        <v>465</v>
      </c>
      <c r="D115" s="42" t="s">
        <v>465</v>
      </c>
      <c r="E115" s="54"/>
      <c r="F115" s="42" t="s">
        <v>72</v>
      </c>
      <c r="G115" s="40" t="n">
        <v>50</v>
      </c>
      <c r="H115" s="40" t="n">
        <v>0</v>
      </c>
      <c r="I115" s="40" t="n">
        <v>25</v>
      </c>
      <c r="J115" s="40" t="n">
        <v>50</v>
      </c>
      <c r="K115" s="40" t="n">
        <v>0</v>
      </c>
      <c r="L115" s="40" t="n">
        <v>50</v>
      </c>
      <c r="M115" s="40" t="n">
        <v>25</v>
      </c>
      <c r="N115" s="40" t="n">
        <v>0</v>
      </c>
      <c r="O115" s="17" t="n">
        <f aca="false">SUM(G115:N115)</f>
        <v>200</v>
      </c>
      <c r="P115" s="17" t="n">
        <f aca="false">AVERAGE(K115:M115)</f>
        <v>25</v>
      </c>
      <c r="Q115" s="17" t="n">
        <f aca="false">O115/7.6774</f>
        <v>26.0504858415609</v>
      </c>
      <c r="R115" s="55" t="n">
        <f aca="false">IFERROR(AVERAGE(K115:M115)/AVERAGE(H115:J115),"")</f>
        <v>1</v>
      </c>
      <c r="S115" s="56" t="s">
        <v>253</v>
      </c>
      <c r="T115" s="18" t="n">
        <f aca="false">IF($S115="DROPPED",0,IF(OR($S115="ONE-TIME",$S115="PERIODIC"),$Q115,IF($S115="NEW",25,$P115)))</f>
        <v>25</v>
      </c>
      <c r="U115" s="40"/>
      <c r="V115" s="17" t="str">
        <f aca="false">IF($U115="","",$T115-$U115)</f>
        <v/>
      </c>
      <c r="W115" s="40"/>
      <c r="X115" s="7"/>
    </row>
    <row r="116" customFormat="false" ht="15" hidden="false" customHeight="false" outlineLevel="0" collapsed="false">
      <c r="A116" s="42" t="s">
        <v>328</v>
      </c>
      <c r="B116" s="42" t="s">
        <v>521</v>
      </c>
      <c r="C116" s="42" t="s">
        <v>64</v>
      </c>
      <c r="D116" s="42" t="s">
        <v>465</v>
      </c>
      <c r="E116" s="54"/>
      <c r="F116" s="42" t="s">
        <v>64</v>
      </c>
      <c r="G116" s="40" t="n">
        <v>96.37</v>
      </c>
      <c r="H116" s="40" t="n">
        <v>0</v>
      </c>
      <c r="I116" s="40" t="n">
        <v>0</v>
      </c>
      <c r="J116" s="40" t="n">
        <v>0</v>
      </c>
      <c r="K116" s="40" t="n">
        <v>0</v>
      </c>
      <c r="L116" s="40" t="n">
        <v>96.37</v>
      </c>
      <c r="M116" s="40" t="n">
        <v>0</v>
      </c>
      <c r="N116" s="40" t="n">
        <v>0</v>
      </c>
      <c r="O116" s="17" t="n">
        <f aca="false">SUM(G116:N116)</f>
        <v>192.74</v>
      </c>
      <c r="P116" s="17" t="n">
        <f aca="false">AVERAGE(K116:M116)</f>
        <v>32.1233333333333</v>
      </c>
      <c r="Q116" s="17" t="n">
        <f aca="false">O116/7.6774</f>
        <v>25.1048532055123</v>
      </c>
      <c r="R116" s="55" t="str">
        <f aca="false">IFERROR(AVERAGE(K116:M116)/AVERAGE(H116:J116),"")</f>
        <v/>
      </c>
      <c r="S116" s="62" t="s">
        <v>291</v>
      </c>
      <c r="T116" s="18" t="n">
        <f aca="false">IF($S116="DROPPED",0,IF(OR($S116="ONE-TIME",$S116="PERIODIC"),$Q116,IF($S116="NEW",25.1,$P116)))</f>
        <v>25.1048532055123</v>
      </c>
      <c r="U116" s="40"/>
      <c r="V116" s="17" t="str">
        <f aca="false">IF($U116="","",$T116-$U116)</f>
        <v/>
      </c>
      <c r="W116" s="40"/>
      <c r="X116" s="7"/>
    </row>
    <row r="117" customFormat="false" ht="15" hidden="false" customHeight="false" outlineLevel="0" collapsed="false">
      <c r="A117" s="42" t="s">
        <v>432</v>
      </c>
      <c r="B117" s="42" t="s">
        <v>520</v>
      </c>
      <c r="C117" s="42" t="s">
        <v>465</v>
      </c>
      <c r="D117" s="42" t="s">
        <v>465</v>
      </c>
      <c r="E117" s="54"/>
      <c r="F117" s="42" t="s">
        <v>72</v>
      </c>
      <c r="G117" s="40" t="n">
        <v>0</v>
      </c>
      <c r="H117" s="40" t="n">
        <v>172.76</v>
      </c>
      <c r="I117" s="40" t="n">
        <v>0</v>
      </c>
      <c r="J117" s="40" t="n">
        <v>0</v>
      </c>
      <c r="K117" s="40" t="n">
        <v>0</v>
      </c>
      <c r="L117" s="40" t="n">
        <v>0</v>
      </c>
      <c r="M117" s="40" t="n">
        <v>0</v>
      </c>
      <c r="N117" s="40" t="n">
        <v>0</v>
      </c>
      <c r="O117" s="17" t="n">
        <f aca="false">SUM(G117:N117)</f>
        <v>172.76</v>
      </c>
      <c r="P117" s="17" t="n">
        <f aca="false">AVERAGE(K117:M117)</f>
        <v>0</v>
      </c>
      <c r="Q117" s="17" t="n">
        <f aca="false">O117/7.6774</f>
        <v>22.5024096699403</v>
      </c>
      <c r="R117" s="55" t="n">
        <f aca="false">IFERROR(AVERAGE(K117:M117)/AVERAGE(H117:J117),"")</f>
        <v>0</v>
      </c>
      <c r="S117" s="60" t="s">
        <v>285</v>
      </c>
      <c r="T117" s="18" t="n">
        <f aca="false">IF($S117="DROPPED",0,IF(OR($S117="ONE-TIME",$S117="PERIODIC"),$Q117,IF($S117="NEW",22.5,$P117)))</f>
        <v>22.5024096699403</v>
      </c>
      <c r="U117" s="40"/>
      <c r="V117" s="17" t="str">
        <f aca="false">IF($U117="","",$T117-$U117)</f>
        <v/>
      </c>
      <c r="W117" s="40"/>
      <c r="X117" s="7"/>
    </row>
    <row r="118" customFormat="false" ht="15" hidden="false" customHeight="false" outlineLevel="0" collapsed="false">
      <c r="A118" s="42" t="s">
        <v>387</v>
      </c>
      <c r="B118" s="42" t="s">
        <v>472</v>
      </c>
      <c r="C118" s="42" t="s">
        <v>68</v>
      </c>
      <c r="D118" s="42" t="s">
        <v>465</v>
      </c>
      <c r="E118" s="54"/>
      <c r="F118" s="42" t="s">
        <v>68</v>
      </c>
      <c r="G118" s="40" t="n">
        <v>165.09</v>
      </c>
      <c r="H118" s="40" t="n">
        <v>0</v>
      </c>
      <c r="I118" s="40" t="n">
        <v>0</v>
      </c>
      <c r="J118" s="40" t="n">
        <v>0</v>
      </c>
      <c r="K118" s="40" t="n">
        <v>0</v>
      </c>
      <c r="L118" s="40" t="n">
        <v>0</v>
      </c>
      <c r="M118" s="40" t="n">
        <v>0</v>
      </c>
      <c r="N118" s="40" t="n">
        <v>0</v>
      </c>
      <c r="O118" s="17" t="n">
        <f aca="false">SUM(G118:N118)</f>
        <v>165.09</v>
      </c>
      <c r="P118" s="17" t="n">
        <f aca="false">AVERAGE(K118:M118)</f>
        <v>0</v>
      </c>
      <c r="Q118" s="17" t="n">
        <f aca="false">O118/7.6774</f>
        <v>21.5033735379165</v>
      </c>
      <c r="R118" s="55" t="str">
        <f aca="false">IFERROR(AVERAGE(K118:M118)/AVERAGE(H118:J118),"")</f>
        <v/>
      </c>
      <c r="S118" s="60" t="s">
        <v>285</v>
      </c>
      <c r="T118" s="18" t="n">
        <f aca="false">IF($S118="DROPPED",0,IF(OR($S118="ONE-TIME",$S118="PERIODIC"),$Q118,IF($S118="NEW",21.5,$P118)))</f>
        <v>21.5033735379165</v>
      </c>
      <c r="U118" s="40"/>
      <c r="V118" s="17" t="str">
        <f aca="false">IF($U118="","",$T118-$U118)</f>
        <v/>
      </c>
      <c r="W118" s="40"/>
      <c r="X118" s="7"/>
    </row>
    <row r="119" customFormat="false" ht="15" hidden="false" customHeight="false" outlineLevel="0" collapsed="false">
      <c r="A119" s="42" t="s">
        <v>413</v>
      </c>
      <c r="B119" s="42" t="s">
        <v>467</v>
      </c>
      <c r="C119" s="42" t="s">
        <v>465</v>
      </c>
      <c r="D119" s="42" t="s">
        <v>465</v>
      </c>
      <c r="E119" s="54"/>
      <c r="F119" s="42" t="s">
        <v>72</v>
      </c>
      <c r="G119" s="40" t="n">
        <v>0</v>
      </c>
      <c r="H119" s="40" t="n">
        <v>0</v>
      </c>
      <c r="I119" s="40" t="n">
        <v>0</v>
      </c>
      <c r="J119" s="40" t="n">
        <v>0</v>
      </c>
      <c r="K119" s="40" t="n">
        <v>0</v>
      </c>
      <c r="L119" s="40" t="n">
        <v>0</v>
      </c>
      <c r="M119" s="40" t="n">
        <v>165</v>
      </c>
      <c r="N119" s="40" t="n">
        <v>0</v>
      </c>
      <c r="O119" s="17" t="n">
        <f aca="false">SUM(G119:N119)</f>
        <v>165</v>
      </c>
      <c r="P119" s="17" t="n">
        <f aca="false">AVERAGE(K119:M119)</f>
        <v>55</v>
      </c>
      <c r="Q119" s="17" t="n">
        <f aca="false">O119/7.6774</f>
        <v>21.4916508192878</v>
      </c>
      <c r="R119" s="55" t="str">
        <f aca="false">IFERROR(AVERAGE(K119:M119)/AVERAGE(H119:J119),"")</f>
        <v/>
      </c>
      <c r="S119" s="63" t="s">
        <v>261</v>
      </c>
      <c r="T119" s="18" t="n">
        <f aca="false">IF($S119="DROPPED",0,IF(OR($S119="ONE-TIME",$S119="PERIODIC"),$Q119,IF($S119="NEW",165,$P119)))</f>
        <v>165</v>
      </c>
      <c r="U119" s="40"/>
      <c r="V119" s="17" t="str">
        <f aca="false">IF($U119="","",$T119-$U119)</f>
        <v/>
      </c>
      <c r="W119" s="40"/>
      <c r="X119" s="7"/>
    </row>
    <row r="120" customFormat="false" ht="15" hidden="false" customHeight="false" outlineLevel="0" collapsed="false">
      <c r="A120" s="42" t="s">
        <v>397</v>
      </c>
      <c r="B120" s="42" t="s">
        <v>472</v>
      </c>
      <c r="C120" s="42" t="s">
        <v>71</v>
      </c>
      <c r="D120" s="42" t="s">
        <v>465</v>
      </c>
      <c r="E120" s="54"/>
      <c r="F120" s="42" t="s">
        <v>71</v>
      </c>
      <c r="G120" s="40" t="n">
        <v>16</v>
      </c>
      <c r="H120" s="40" t="n">
        <v>8</v>
      </c>
      <c r="I120" s="40" t="n">
        <v>0</v>
      </c>
      <c r="J120" s="40" t="n">
        <v>0</v>
      </c>
      <c r="K120" s="40" t="n">
        <v>11.25</v>
      </c>
      <c r="L120" s="40" t="n">
        <v>23.6</v>
      </c>
      <c r="M120" s="40" t="n">
        <v>51</v>
      </c>
      <c r="N120" s="40" t="n">
        <v>52.2</v>
      </c>
      <c r="O120" s="17" t="n">
        <f aca="false">SUM(G120:N120)</f>
        <v>162.05</v>
      </c>
      <c r="P120" s="17" t="n">
        <f aca="false">AVERAGE(K120:M120)</f>
        <v>28.6166666666667</v>
      </c>
      <c r="Q120" s="17" t="n">
        <f aca="false">O120/7.6774</f>
        <v>21.1074061531248</v>
      </c>
      <c r="R120" s="55" t="n">
        <f aca="false">IFERROR(AVERAGE(K120:M120)/AVERAGE(H120:J120),"")</f>
        <v>10.73125</v>
      </c>
      <c r="S120" s="56" t="s">
        <v>253</v>
      </c>
      <c r="T120" s="18" t="n">
        <f aca="false">IF($S120="DROPPED",0,IF(OR($S120="ONE-TIME",$S120="PERIODIC"),$Q120,IF($S120="NEW",28.62,$P120)))</f>
        <v>28.6166666666667</v>
      </c>
      <c r="U120" s="40"/>
      <c r="V120" s="17" t="str">
        <f aca="false">IF($U120="","",$T120-$U120)</f>
        <v/>
      </c>
      <c r="W120" s="40"/>
      <c r="X120" s="7"/>
    </row>
    <row r="121" customFormat="false" ht="15" hidden="false" customHeight="false" outlineLevel="0" collapsed="false">
      <c r="A121" s="42" t="s">
        <v>315</v>
      </c>
      <c r="B121" s="42" t="s">
        <v>472</v>
      </c>
      <c r="C121" s="42" t="s">
        <v>63</v>
      </c>
      <c r="D121" s="42" t="s">
        <v>63</v>
      </c>
      <c r="E121" s="54"/>
      <c r="F121" s="42" t="s">
        <v>63</v>
      </c>
      <c r="G121" s="40" t="n">
        <v>20</v>
      </c>
      <c r="H121" s="40" t="n">
        <v>20</v>
      </c>
      <c r="I121" s="40" t="n">
        <v>20</v>
      </c>
      <c r="J121" s="40" t="n">
        <v>20</v>
      </c>
      <c r="K121" s="40" t="n">
        <v>20</v>
      </c>
      <c r="L121" s="40" t="n">
        <v>20</v>
      </c>
      <c r="M121" s="40" t="n">
        <v>20</v>
      </c>
      <c r="N121" s="40" t="n">
        <v>20</v>
      </c>
      <c r="O121" s="17" t="n">
        <f aca="false">SUM(G121:N121)</f>
        <v>160</v>
      </c>
      <c r="P121" s="17" t="n">
        <f aca="false">AVERAGE(K121:M121)</f>
        <v>20</v>
      </c>
      <c r="Q121" s="17" t="n">
        <f aca="false">O121/7.6774</f>
        <v>20.8403886732488</v>
      </c>
      <c r="R121" s="55" t="n">
        <f aca="false">IFERROR(AVERAGE(K121:M121)/AVERAGE(H121:J121),"")</f>
        <v>1</v>
      </c>
      <c r="S121" s="56" t="s">
        <v>253</v>
      </c>
      <c r="T121" s="18" t="n">
        <f aca="false">IF($S121="DROPPED",0,IF(OR($S121="ONE-TIME",$S121="PERIODIC"),$Q121,IF($S121="NEW",20,$P121)))</f>
        <v>20</v>
      </c>
      <c r="U121" s="40" t="n">
        <v>8.33</v>
      </c>
      <c r="V121" s="17" t="n">
        <f aca="false">IF($U121="","",$T121-$U121)</f>
        <v>11.67</v>
      </c>
      <c r="W121" s="40"/>
      <c r="X121" s="7"/>
    </row>
    <row r="122" customFormat="false" ht="15" hidden="false" customHeight="false" outlineLevel="0" collapsed="false">
      <c r="A122" s="42" t="s">
        <v>399</v>
      </c>
      <c r="B122" s="42" t="s">
        <v>500</v>
      </c>
      <c r="C122" s="42" t="s">
        <v>71</v>
      </c>
      <c r="D122" s="42" t="s">
        <v>465</v>
      </c>
      <c r="E122" s="54"/>
      <c r="F122" s="42" t="s">
        <v>71</v>
      </c>
      <c r="G122" s="40" t="n">
        <v>0</v>
      </c>
      <c r="H122" s="40" t="n">
        <v>155</v>
      </c>
      <c r="I122" s="40" t="n">
        <v>0</v>
      </c>
      <c r="J122" s="40" t="n">
        <v>0</v>
      </c>
      <c r="K122" s="40" t="n">
        <v>0</v>
      </c>
      <c r="L122" s="40" t="n">
        <v>0</v>
      </c>
      <c r="M122" s="40" t="n">
        <v>0</v>
      </c>
      <c r="N122" s="40" t="n">
        <v>0</v>
      </c>
      <c r="O122" s="17" t="n">
        <f aca="false">SUM(G122:N122)</f>
        <v>155</v>
      </c>
      <c r="P122" s="17" t="n">
        <f aca="false">AVERAGE(K122:M122)</f>
        <v>0</v>
      </c>
      <c r="Q122" s="17" t="n">
        <f aca="false">O122/7.6774</f>
        <v>20.1891265272097</v>
      </c>
      <c r="R122" s="55" t="n">
        <f aca="false">IFERROR(AVERAGE(K122:M122)/AVERAGE(H122:J122),"")</f>
        <v>0</v>
      </c>
      <c r="S122" s="60" t="s">
        <v>285</v>
      </c>
      <c r="T122" s="18" t="n">
        <f aca="false">IF($S122="DROPPED",0,IF(OR($S122="ONE-TIME",$S122="PERIODIC"),$Q122,IF($S122="NEW",20.19,$P122)))</f>
        <v>20.1891265272097</v>
      </c>
      <c r="U122" s="40"/>
      <c r="V122" s="17" t="str">
        <f aca="false">IF($U122="","",$T122-$U122)</f>
        <v/>
      </c>
      <c r="W122" s="40"/>
      <c r="X122" s="7"/>
    </row>
    <row r="123" customFormat="false" ht="15" hidden="false" customHeight="false" outlineLevel="0" collapsed="false">
      <c r="A123" s="42" t="s">
        <v>290</v>
      </c>
      <c r="B123" s="42" t="s">
        <v>500</v>
      </c>
      <c r="C123" s="42" t="s">
        <v>465</v>
      </c>
      <c r="D123" s="42" t="s">
        <v>62</v>
      </c>
      <c r="E123" s="54"/>
      <c r="F123" s="42" t="s">
        <v>62</v>
      </c>
      <c r="G123" s="40" t="n">
        <v>0</v>
      </c>
      <c r="H123" s="40" t="n">
        <v>72.57</v>
      </c>
      <c r="I123" s="40" t="n">
        <v>0</v>
      </c>
      <c r="J123" s="40" t="n">
        <v>0</v>
      </c>
      <c r="K123" s="40" t="n">
        <v>23.19</v>
      </c>
      <c r="L123" s="40" t="n">
        <v>0</v>
      </c>
      <c r="M123" s="40" t="n">
        <v>0</v>
      </c>
      <c r="N123" s="40" t="n">
        <v>46.38</v>
      </c>
      <c r="O123" s="17" t="n">
        <f aca="false">SUM(G123:N123)</f>
        <v>142.14</v>
      </c>
      <c r="P123" s="17" t="n">
        <f aca="false">AVERAGE(K123:M123)</f>
        <v>7.73</v>
      </c>
      <c r="Q123" s="17" t="n">
        <f aca="false">O123/7.6774</f>
        <v>18.5140802875974</v>
      </c>
      <c r="R123" s="55" t="n">
        <f aca="false">IFERROR(AVERAGE(K123:M123)/AVERAGE(H123:J123),"")</f>
        <v>0.319553534518396</v>
      </c>
      <c r="S123" s="62" t="s">
        <v>291</v>
      </c>
      <c r="T123" s="18" t="n">
        <f aca="false">IF($S123="DROPPED",0,IF(OR($S123="ONE-TIME",$S123="PERIODIC"),$Q123,IF($S123="NEW",18.51,$P123)))</f>
        <v>18.5140802875974</v>
      </c>
      <c r="U123" s="40" t="n">
        <v>26.37</v>
      </c>
      <c r="V123" s="17" t="n">
        <f aca="false">IF($U123="","",$T123-$U123)</f>
        <v>-7.85591971240264</v>
      </c>
      <c r="W123" s="40"/>
      <c r="X123" s="7"/>
    </row>
    <row r="124" customFormat="false" ht="15" hidden="false" customHeight="false" outlineLevel="0" collapsed="false">
      <c r="A124" s="42" t="s">
        <v>433</v>
      </c>
      <c r="B124" s="42" t="s">
        <v>521</v>
      </c>
      <c r="C124" s="42" t="s">
        <v>465</v>
      </c>
      <c r="D124" s="42" t="s">
        <v>465</v>
      </c>
      <c r="E124" s="54"/>
      <c r="F124" s="42" t="s">
        <v>72</v>
      </c>
      <c r="G124" s="40" t="n">
        <v>0</v>
      </c>
      <c r="H124" s="40" t="n">
        <v>0</v>
      </c>
      <c r="I124" s="40" t="n">
        <v>138</v>
      </c>
      <c r="J124" s="40" t="n">
        <v>0</v>
      </c>
      <c r="K124" s="40" t="n">
        <v>0</v>
      </c>
      <c r="L124" s="40" t="n">
        <v>0</v>
      </c>
      <c r="M124" s="40" t="n">
        <v>0</v>
      </c>
      <c r="N124" s="40" t="n">
        <v>0</v>
      </c>
      <c r="O124" s="17" t="n">
        <f aca="false">SUM(G124:N124)</f>
        <v>138</v>
      </c>
      <c r="P124" s="17" t="n">
        <f aca="false">AVERAGE(K124:M124)</f>
        <v>0</v>
      </c>
      <c r="Q124" s="17" t="n">
        <f aca="false">O124/7.6774</f>
        <v>17.9748352306771</v>
      </c>
      <c r="R124" s="55" t="n">
        <f aca="false">IFERROR(AVERAGE(K124:M124)/AVERAGE(H124:J124),"")</f>
        <v>0</v>
      </c>
      <c r="S124" s="60" t="s">
        <v>285</v>
      </c>
      <c r="T124" s="18" t="n">
        <f aca="false">IF($S124="DROPPED",0,IF(OR($S124="ONE-TIME",$S124="PERIODIC"),$Q124,IF($S124="NEW",17.97,$P124)))</f>
        <v>17.9748352306771</v>
      </c>
      <c r="U124" s="40"/>
      <c r="V124" s="17" t="str">
        <f aca="false">IF($U124="","",$T124-$U124)</f>
        <v/>
      </c>
      <c r="W124" s="40"/>
      <c r="X124" s="7"/>
    </row>
    <row r="125" customFormat="false" ht="15" hidden="false" customHeight="false" outlineLevel="0" collapsed="false">
      <c r="A125" s="42" t="s">
        <v>434</v>
      </c>
      <c r="B125" s="42" t="s">
        <v>521</v>
      </c>
      <c r="C125" s="42" t="s">
        <v>465</v>
      </c>
      <c r="D125" s="42" t="s">
        <v>465</v>
      </c>
      <c r="E125" s="54"/>
      <c r="F125" s="42" t="s">
        <v>72</v>
      </c>
      <c r="G125" s="40" t="n">
        <v>0</v>
      </c>
      <c r="H125" s="40" t="n">
        <v>0</v>
      </c>
      <c r="I125" s="40" t="n">
        <v>0</v>
      </c>
      <c r="J125" s="40" t="n">
        <v>34</v>
      </c>
      <c r="K125" s="40" t="n">
        <v>100</v>
      </c>
      <c r="L125" s="40" t="n">
        <v>0</v>
      </c>
      <c r="M125" s="40" t="n">
        <v>0</v>
      </c>
      <c r="N125" s="40" t="n">
        <v>0</v>
      </c>
      <c r="O125" s="17" t="n">
        <f aca="false">SUM(G125:N125)</f>
        <v>134</v>
      </c>
      <c r="P125" s="17" t="n">
        <f aca="false">AVERAGE(K125:M125)</f>
        <v>33.3333333333333</v>
      </c>
      <c r="Q125" s="17" t="n">
        <f aca="false">O125/7.6774</f>
        <v>17.4538255138458</v>
      </c>
      <c r="R125" s="55" t="n">
        <f aca="false">IFERROR(AVERAGE(K125:M125)/AVERAGE(H125:J125),"")</f>
        <v>2.94117647058824</v>
      </c>
      <c r="S125" s="60" t="s">
        <v>285</v>
      </c>
      <c r="T125" s="18" t="n">
        <f aca="false">IF($S125="DROPPED",0,IF(OR($S125="ONE-TIME",$S125="PERIODIC"),$Q125,IF($S125="NEW",17.45,$P125)))</f>
        <v>17.4538255138458</v>
      </c>
      <c r="U125" s="40"/>
      <c r="V125" s="17" t="str">
        <f aca="false">IF($U125="","",$T125-$U125)</f>
        <v/>
      </c>
      <c r="W125" s="40"/>
      <c r="X125" s="7"/>
    </row>
    <row r="126" customFormat="false" ht="15" hidden="false" customHeight="false" outlineLevel="0" collapsed="false">
      <c r="A126" s="42" t="s">
        <v>395</v>
      </c>
      <c r="B126" s="42" t="s">
        <v>521</v>
      </c>
      <c r="C126" s="42" t="s">
        <v>71</v>
      </c>
      <c r="D126" s="42" t="s">
        <v>465</v>
      </c>
      <c r="E126" s="54"/>
      <c r="F126" s="42" t="s">
        <v>71</v>
      </c>
      <c r="G126" s="40" t="n">
        <v>0</v>
      </c>
      <c r="H126" s="40" t="n">
        <v>0</v>
      </c>
      <c r="I126" s="40" t="n">
        <v>0</v>
      </c>
      <c r="J126" s="40" t="n">
        <v>0</v>
      </c>
      <c r="K126" s="40" t="n">
        <v>127.5</v>
      </c>
      <c r="L126" s="40" t="n">
        <v>0</v>
      </c>
      <c r="M126" s="40" t="n">
        <v>0</v>
      </c>
      <c r="N126" s="40" t="n">
        <v>0</v>
      </c>
      <c r="O126" s="17" t="n">
        <f aca="false">SUM(G126:N126)</f>
        <v>127.5</v>
      </c>
      <c r="P126" s="17" t="n">
        <f aca="false">AVERAGE(K126:M126)</f>
        <v>42.5</v>
      </c>
      <c r="Q126" s="17" t="n">
        <f aca="false">O126/7.6774</f>
        <v>16.6071847239951</v>
      </c>
      <c r="R126" s="55" t="str">
        <f aca="false">IFERROR(AVERAGE(K126:M126)/AVERAGE(H126:J126),"")</f>
        <v/>
      </c>
      <c r="S126" s="63" t="s">
        <v>261</v>
      </c>
      <c r="T126" s="18" t="n">
        <f aca="false">IF($S126="DROPPED",0,IF(OR($S126="ONE-TIME",$S126="PERIODIC"),$Q126,IF($S126="NEW",42.5,$P126)))</f>
        <v>42.5</v>
      </c>
      <c r="U126" s="40"/>
      <c r="V126" s="17" t="str">
        <f aca="false">IF($U126="","",$T126-$U126)</f>
        <v/>
      </c>
      <c r="W126" s="40"/>
      <c r="X126" s="7"/>
    </row>
    <row r="127" customFormat="false" ht="15" hidden="false" customHeight="false" outlineLevel="0" collapsed="false">
      <c r="A127" s="42" t="s">
        <v>293</v>
      </c>
      <c r="B127" s="42" t="s">
        <v>472</v>
      </c>
      <c r="C127" s="42" t="s">
        <v>465</v>
      </c>
      <c r="D127" s="42" t="s">
        <v>62</v>
      </c>
      <c r="E127" s="54"/>
      <c r="F127" s="42" t="s">
        <v>62</v>
      </c>
      <c r="G127" s="40" t="n">
        <v>15</v>
      </c>
      <c r="H127" s="40" t="n">
        <v>15</v>
      </c>
      <c r="I127" s="40" t="n">
        <v>15</v>
      </c>
      <c r="J127" s="40" t="n">
        <v>15</v>
      </c>
      <c r="K127" s="40" t="n">
        <v>15</v>
      </c>
      <c r="L127" s="40" t="n">
        <v>15</v>
      </c>
      <c r="M127" s="40" t="n">
        <v>15</v>
      </c>
      <c r="N127" s="40" t="n">
        <v>15</v>
      </c>
      <c r="O127" s="17" t="n">
        <f aca="false">SUM(G127:N127)</f>
        <v>120</v>
      </c>
      <c r="P127" s="17" t="n">
        <f aca="false">AVERAGE(K127:M127)</f>
        <v>15</v>
      </c>
      <c r="Q127" s="17" t="n">
        <f aca="false">O127/7.6774</f>
        <v>15.6302915049366</v>
      </c>
      <c r="R127" s="55" t="n">
        <f aca="false">IFERROR(AVERAGE(K127:M127)/AVERAGE(H127:J127),"")</f>
        <v>1</v>
      </c>
      <c r="S127" s="56" t="s">
        <v>253</v>
      </c>
      <c r="T127" s="18" t="n">
        <f aca="false">IF($S127="DROPPED",0,IF(OR($S127="ONE-TIME",$S127="PERIODIC"),$Q127,IF($S127="NEW",15,$P127)))</f>
        <v>15</v>
      </c>
      <c r="U127" s="40" t="n">
        <v>15</v>
      </c>
      <c r="V127" s="17" t="n">
        <f aca="false">IF($U127="","",$T127-$U127)</f>
        <v>0</v>
      </c>
      <c r="W127" s="40"/>
      <c r="X127" s="7"/>
    </row>
    <row r="128" customFormat="false" ht="15" hidden="false" customHeight="false" outlineLevel="0" collapsed="false">
      <c r="A128" s="42" t="s">
        <v>435</v>
      </c>
      <c r="B128" s="42" t="s">
        <v>522</v>
      </c>
      <c r="C128" s="42" t="s">
        <v>465</v>
      </c>
      <c r="D128" s="42" t="s">
        <v>465</v>
      </c>
      <c r="E128" s="54"/>
      <c r="F128" s="42" t="s">
        <v>72</v>
      </c>
      <c r="G128" s="40" t="n">
        <v>-117</v>
      </c>
      <c r="H128" s="40" t="n">
        <v>0</v>
      </c>
      <c r="I128" s="40" t="n">
        <v>0</v>
      </c>
      <c r="J128" s="40" t="n">
        <v>0</v>
      </c>
      <c r="K128" s="40" t="n">
        <v>0</v>
      </c>
      <c r="L128" s="40" t="n">
        <v>0</v>
      </c>
      <c r="M128" s="40" t="n">
        <v>0</v>
      </c>
      <c r="N128" s="40" t="n">
        <v>0</v>
      </c>
      <c r="O128" s="17" t="n">
        <f aca="false">SUM(G128:N128)</f>
        <v>-117</v>
      </c>
      <c r="P128" s="17" t="n">
        <f aca="false">AVERAGE(K128:M128)</f>
        <v>0</v>
      </c>
      <c r="Q128" s="17" t="n">
        <f aca="false">O128/7.6774</f>
        <v>-15.2395342173132</v>
      </c>
      <c r="R128" s="55" t="str">
        <f aca="false">IFERROR(AVERAGE(K128:M128)/AVERAGE(H128:J128),"")</f>
        <v/>
      </c>
      <c r="S128" s="60" t="s">
        <v>285</v>
      </c>
      <c r="T128" s="18" t="n">
        <f aca="false">IF($S128="DROPPED",0,IF(OR($S128="ONE-TIME",$S128="PERIODIC"),$Q128,IF($S128="NEW",-15.24,$P128)))</f>
        <v>-15.2395342173132</v>
      </c>
      <c r="U128" s="40"/>
      <c r="V128" s="17" t="str">
        <f aca="false">IF($U128="","",$T128-$U128)</f>
        <v/>
      </c>
      <c r="W128" s="40"/>
      <c r="X128" s="7"/>
    </row>
    <row r="129" customFormat="false" ht="15" hidden="false" customHeight="false" outlineLevel="0" collapsed="false">
      <c r="A129" s="42" t="s">
        <v>421</v>
      </c>
      <c r="B129" s="42" t="s">
        <v>514</v>
      </c>
      <c r="C129" s="42" t="s">
        <v>465</v>
      </c>
      <c r="D129" s="42" t="s">
        <v>465</v>
      </c>
      <c r="E129" s="54"/>
      <c r="F129" s="42" t="s">
        <v>72</v>
      </c>
      <c r="G129" s="40" t="n">
        <v>0</v>
      </c>
      <c r="H129" s="40" t="n">
        <v>0</v>
      </c>
      <c r="I129" s="40" t="n">
        <v>0</v>
      </c>
      <c r="J129" s="40" t="n">
        <v>0</v>
      </c>
      <c r="K129" s="40" t="n">
        <v>0</v>
      </c>
      <c r="L129" s="40" t="n">
        <v>115</v>
      </c>
      <c r="M129" s="40" t="n">
        <v>0</v>
      </c>
      <c r="N129" s="40" t="n">
        <v>0</v>
      </c>
      <c r="O129" s="17" t="n">
        <f aca="false">SUM(G129:N129)</f>
        <v>115</v>
      </c>
      <c r="P129" s="17" t="n">
        <f aca="false">AVERAGE(K129:M129)</f>
        <v>38.3333333333333</v>
      </c>
      <c r="Q129" s="17" t="n">
        <f aca="false">O129/7.6774</f>
        <v>14.9790293588975</v>
      </c>
      <c r="R129" s="55" t="str">
        <f aca="false">IFERROR(AVERAGE(K129:M129)/AVERAGE(H129:J129),"")</f>
        <v/>
      </c>
      <c r="S129" s="63" t="s">
        <v>261</v>
      </c>
      <c r="T129" s="18" t="n">
        <f aca="false">IF($S129="DROPPED",0,IF(OR($S129="ONE-TIME",$S129="PERIODIC"),$Q129,IF($S129="NEW",57.5,$P129)))</f>
        <v>57.5</v>
      </c>
      <c r="U129" s="40"/>
      <c r="V129" s="17" t="str">
        <f aca="false">IF($U129="","",$T129-$U129)</f>
        <v/>
      </c>
      <c r="W129" s="40"/>
      <c r="X129" s="7"/>
    </row>
    <row r="130" customFormat="false" ht="15" hidden="false" customHeight="false" outlineLevel="0" collapsed="false">
      <c r="A130" s="42" t="s">
        <v>436</v>
      </c>
      <c r="B130" s="42" t="s">
        <v>512</v>
      </c>
      <c r="C130" s="42" t="s">
        <v>465</v>
      </c>
      <c r="D130" s="42" t="s">
        <v>465</v>
      </c>
      <c r="E130" s="54"/>
      <c r="F130" s="42" t="s">
        <v>72</v>
      </c>
      <c r="G130" s="40" t="n">
        <v>0</v>
      </c>
      <c r="H130" s="40" t="n">
        <v>103.31</v>
      </c>
      <c r="I130" s="40" t="n">
        <v>0</v>
      </c>
      <c r="J130" s="40" t="n">
        <v>0</v>
      </c>
      <c r="K130" s="40" t="n">
        <v>0</v>
      </c>
      <c r="L130" s="40" t="n">
        <v>0</v>
      </c>
      <c r="M130" s="40" t="n">
        <v>0</v>
      </c>
      <c r="N130" s="40" t="n">
        <v>0</v>
      </c>
      <c r="O130" s="17" t="n">
        <f aca="false">SUM(G130:N130)</f>
        <v>103.31</v>
      </c>
      <c r="P130" s="17" t="n">
        <f aca="false">AVERAGE(K130:M130)</f>
        <v>0</v>
      </c>
      <c r="Q130" s="17" t="n">
        <f aca="false">O130/7.6774</f>
        <v>13.4563784614583</v>
      </c>
      <c r="R130" s="55" t="n">
        <f aca="false">IFERROR(AVERAGE(K130:M130)/AVERAGE(H130:J130),"")</f>
        <v>0</v>
      </c>
      <c r="S130" s="60" t="s">
        <v>285</v>
      </c>
      <c r="T130" s="18" t="n">
        <f aca="false">IF($S130="DROPPED",0,IF(OR($S130="ONE-TIME",$S130="PERIODIC"),$Q130,IF($S130="NEW",13.46,$P130)))</f>
        <v>13.4563784614583</v>
      </c>
      <c r="U130" s="40"/>
      <c r="V130" s="17" t="str">
        <f aca="false">IF($U130="","",$T130-$U130)</f>
        <v/>
      </c>
      <c r="W130" s="40"/>
      <c r="X130" s="7"/>
    </row>
    <row r="131" customFormat="false" ht="15" hidden="false" customHeight="false" outlineLevel="0" collapsed="false">
      <c r="A131" s="42" t="s">
        <v>323</v>
      </c>
      <c r="B131" s="42" t="s">
        <v>521</v>
      </c>
      <c r="C131" s="42" t="s">
        <v>64</v>
      </c>
      <c r="D131" s="42" t="s">
        <v>465</v>
      </c>
      <c r="E131" s="54"/>
      <c r="F131" s="42" t="s">
        <v>64</v>
      </c>
      <c r="G131" s="40" t="n">
        <v>0</v>
      </c>
      <c r="H131" s="40" t="n">
        <v>0</v>
      </c>
      <c r="I131" s="40" t="n">
        <v>0</v>
      </c>
      <c r="J131" s="40" t="n">
        <v>0</v>
      </c>
      <c r="K131" s="40" t="n">
        <v>0</v>
      </c>
      <c r="L131" s="40" t="n">
        <v>0</v>
      </c>
      <c r="M131" s="40" t="n">
        <v>0</v>
      </c>
      <c r="N131" s="40" t="n">
        <v>102.5</v>
      </c>
      <c r="O131" s="17" t="n">
        <f aca="false">SUM(G131:N131)</f>
        <v>102.5</v>
      </c>
      <c r="P131" s="17" t="n">
        <f aca="false">AVERAGE(K131:M131)</f>
        <v>0</v>
      </c>
      <c r="Q131" s="17" t="n">
        <f aca="false">O131/7.6774</f>
        <v>13.3508739938</v>
      </c>
      <c r="R131" s="55" t="str">
        <f aca="false">IFERROR(AVERAGE(K131:M131)/AVERAGE(H131:J131),"")</f>
        <v/>
      </c>
      <c r="S131" s="63" t="s">
        <v>261</v>
      </c>
      <c r="T131" s="18" t="n">
        <f aca="false">IF($S131="DROPPED",0,IF(OR($S131="ONE-TIME",$S131="PERIODIC"),$Q131,IF($S131="NEW",151.31,$P131)))</f>
        <v>151.31</v>
      </c>
      <c r="U131" s="40"/>
      <c r="V131" s="17" t="str">
        <f aca="false">IF($U131="","",$T131-$U131)</f>
        <v/>
      </c>
      <c r="W131" s="40"/>
      <c r="X131" s="7"/>
    </row>
    <row r="132" customFormat="false" ht="15" hidden="false" customHeight="false" outlineLevel="0" collapsed="false">
      <c r="A132" s="42" t="s">
        <v>398</v>
      </c>
      <c r="B132" s="42" t="s">
        <v>472</v>
      </c>
      <c r="C132" s="42" t="s">
        <v>71</v>
      </c>
      <c r="D132" s="42" t="s">
        <v>465</v>
      </c>
      <c r="E132" s="54"/>
      <c r="F132" s="42" t="s">
        <v>71</v>
      </c>
      <c r="G132" s="40" t="n">
        <v>0</v>
      </c>
      <c r="H132" s="40" t="n">
        <v>0</v>
      </c>
      <c r="I132" s="40" t="n">
        <v>0</v>
      </c>
      <c r="J132" s="40" t="n">
        <v>30</v>
      </c>
      <c r="K132" s="40" t="n">
        <v>30</v>
      </c>
      <c r="L132" s="40" t="n">
        <v>0</v>
      </c>
      <c r="M132" s="40" t="n">
        <v>40</v>
      </c>
      <c r="N132" s="40" t="n">
        <v>0</v>
      </c>
      <c r="O132" s="17" t="n">
        <f aca="false">SUM(G132:N132)</f>
        <v>100</v>
      </c>
      <c r="P132" s="17" t="n">
        <f aca="false">AVERAGE(K132:M132)</f>
        <v>23.3333333333333</v>
      </c>
      <c r="Q132" s="17" t="n">
        <f aca="false">O132/7.6774</f>
        <v>13.0252429207805</v>
      </c>
      <c r="R132" s="55" t="n">
        <f aca="false">IFERROR(AVERAGE(K132:M132)/AVERAGE(H132:J132),"")</f>
        <v>2.33333333333333</v>
      </c>
      <c r="S132" s="56" t="s">
        <v>253</v>
      </c>
      <c r="T132" s="18" t="n">
        <f aca="false">IF($S132="DROPPED",0,IF(OR($S132="ONE-TIME",$S132="PERIODIC"),$Q132,IF($S132="NEW",23.33,$P132)))</f>
        <v>23.3333333333333</v>
      </c>
      <c r="U132" s="40"/>
      <c r="V132" s="17" t="str">
        <f aca="false">IF($U132="","",$T132-$U132)</f>
        <v/>
      </c>
      <c r="W132" s="40"/>
      <c r="X132" s="7"/>
    </row>
    <row r="135" customFormat="false" ht="15" hidden="false" customHeight="false" outlineLevel="0" collapsed="false">
      <c r="A135" s="15" t="s">
        <v>523</v>
      </c>
    </row>
    <row r="136" customFormat="false" ht="15" hidden="false" customHeight="false" outlineLevel="0" collapsed="false">
      <c r="A136" s="13"/>
      <c r="B136" s="13" t="s">
        <v>31</v>
      </c>
      <c r="C136" s="13" t="s">
        <v>32</v>
      </c>
      <c r="D136" s="13" t="s">
        <v>33</v>
      </c>
      <c r="E136" s="13" t="s">
        <v>34</v>
      </c>
      <c r="F136" s="13" t="s">
        <v>35</v>
      </c>
      <c r="G136" s="13" t="s">
        <v>36</v>
      </c>
      <c r="H136" s="13" t="s">
        <v>37</v>
      </c>
      <c r="I136" s="13" t="s">
        <v>453</v>
      </c>
    </row>
    <row r="137" customFormat="false" ht="15" hidden="false" customHeight="false" outlineLevel="0" collapsed="false">
      <c r="A137" s="8" t="s">
        <v>524</v>
      </c>
      <c r="B137" s="40" t="n">
        <v>1040301.84</v>
      </c>
      <c r="C137" s="40" t="n">
        <v>962653.48</v>
      </c>
      <c r="D137" s="40" t="n">
        <v>807402.94</v>
      </c>
      <c r="E137" s="40" t="n">
        <v>1266520.82</v>
      </c>
      <c r="F137" s="40" t="n">
        <v>1375720.78</v>
      </c>
      <c r="G137" s="40" t="n">
        <v>1116661.77</v>
      </c>
      <c r="H137" s="40" t="n">
        <v>1363598.29</v>
      </c>
      <c r="I137" s="40" t="n">
        <v>613411.73</v>
      </c>
    </row>
    <row r="138" customFormat="false" ht="15" hidden="false" customHeight="false" outlineLevel="0" collapsed="false">
      <c r="A138" s="8" t="s">
        <v>47</v>
      </c>
      <c r="B138" s="40" t="n">
        <v>129229.59</v>
      </c>
      <c r="C138" s="40" t="n">
        <v>613.42</v>
      </c>
      <c r="D138" s="40" t="n">
        <v>15629.36</v>
      </c>
      <c r="E138" s="40" t="n">
        <v>1233.33</v>
      </c>
      <c r="F138" s="40" t="n">
        <v>3051.67</v>
      </c>
      <c r="G138" s="40" t="n">
        <v>3744.51</v>
      </c>
      <c r="H138" s="40" t="n">
        <v>11390.34</v>
      </c>
      <c r="I138" s="40" t="n">
        <v>2355.34</v>
      </c>
    </row>
    <row r="139" customFormat="false" ht="15" hidden="false" customHeight="false" outlineLevel="0" collapsed="false">
      <c r="A139" s="8" t="s">
        <v>525</v>
      </c>
      <c r="B139" s="40" t="n">
        <v>528763.75</v>
      </c>
      <c r="C139" s="40" t="n">
        <v>454951.57</v>
      </c>
      <c r="D139" s="40" t="n">
        <v>374528.5</v>
      </c>
      <c r="E139" s="40" t="n">
        <v>627997.63</v>
      </c>
      <c r="F139" s="40" t="n">
        <v>695120.27</v>
      </c>
      <c r="G139" s="40" t="n">
        <v>514709.89</v>
      </c>
      <c r="H139" s="40" t="n">
        <v>232223.79</v>
      </c>
      <c r="I139" s="40" t="n">
        <v>94104.8</v>
      </c>
    </row>
    <row r="140" customFormat="false" ht="15" hidden="false" customHeight="false" outlineLevel="0" collapsed="false">
      <c r="A140" s="8" t="s">
        <v>51</v>
      </c>
      <c r="B140" s="21" t="n">
        <f aca="false">IFERROR(B139/B137,0)</f>
        <v>0.508279164439428</v>
      </c>
      <c r="C140" s="21" t="n">
        <f aca="false">IFERROR(C139/C137,0)</f>
        <v>0.472601594916584</v>
      </c>
      <c r="D140" s="21" t="n">
        <f aca="false">IFERROR(D139/D137,0)</f>
        <v>0.463868139989681</v>
      </c>
      <c r="E140" s="21" t="n">
        <f aca="false">IFERROR(E139/E137,0)</f>
        <v>0.495844695233672</v>
      </c>
      <c r="F140" s="21" t="n">
        <f aca="false">IFERROR(F139/F137,0)</f>
        <v>0.505277146427926</v>
      </c>
      <c r="G140" s="21" t="n">
        <f aca="false">IFERROR(G139/G137,0)</f>
        <v>0.460936251090606</v>
      </c>
      <c r="H140" s="21" t="n">
        <f aca="false">IFERROR(H139/H137,0)</f>
        <v>0.170302200950985</v>
      </c>
      <c r="I140" s="21" t="n">
        <f aca="false">IFERROR(I139/I137,0)</f>
        <v>0.153412129891941</v>
      </c>
    </row>
    <row r="141" customFormat="false" ht="15" hidden="false" customHeight="false" outlineLevel="0" collapsed="false">
      <c r="A141" s="8" t="s">
        <v>526</v>
      </c>
      <c r="B141" s="40" t="n">
        <v>340010.78</v>
      </c>
      <c r="C141" s="40" t="n">
        <v>306521.04</v>
      </c>
      <c r="D141" s="40" t="n">
        <v>338404.82</v>
      </c>
      <c r="E141" s="40" t="n">
        <v>356191.85</v>
      </c>
      <c r="F141" s="40" t="n">
        <v>302930.9</v>
      </c>
      <c r="G141" s="40" t="n">
        <v>232740.43</v>
      </c>
      <c r="H141" s="40" t="n">
        <v>285805.48</v>
      </c>
      <c r="I141" s="40" t="n">
        <v>267791.52</v>
      </c>
    </row>
    <row r="142" customFormat="false" ht="15" hidden="false" customHeight="false" outlineLevel="0" collapsed="false">
      <c r="A142" s="42" t="s">
        <v>527</v>
      </c>
      <c r="B142" s="40" t="n">
        <v>23880.9</v>
      </c>
      <c r="C142" s="40" t="n">
        <v>26194.9</v>
      </c>
      <c r="D142" s="40" t="n">
        <v>23702.9</v>
      </c>
      <c r="E142" s="40" t="n">
        <v>33135.62</v>
      </c>
      <c r="F142" s="40" t="n">
        <v>21940.07</v>
      </c>
      <c r="G142" s="40" t="n">
        <v>23914.68</v>
      </c>
      <c r="H142" s="40" t="n">
        <v>34292.15</v>
      </c>
      <c r="I142" s="40" t="n">
        <v>9554.48</v>
      </c>
    </row>
    <row r="143" customFormat="false" ht="15" hidden="false" customHeight="false" outlineLevel="0" collapsed="false">
      <c r="A143" s="42" t="s">
        <v>528</v>
      </c>
      <c r="B143" s="40" t="n">
        <v>101112.98</v>
      </c>
      <c r="C143" s="40" t="n">
        <v>104346.54</v>
      </c>
      <c r="D143" s="40" t="n">
        <v>113683.94</v>
      </c>
      <c r="E143" s="40" t="n">
        <v>105145.29</v>
      </c>
      <c r="F143" s="40" t="n">
        <v>102201.14</v>
      </c>
      <c r="G143" s="40" t="n">
        <v>111565</v>
      </c>
      <c r="H143" s="40" t="n">
        <v>97344.03</v>
      </c>
      <c r="I143" s="40" t="n">
        <v>75166.45</v>
      </c>
    </row>
    <row r="144" customFormat="false" ht="15" hidden="false" customHeight="false" outlineLevel="0" collapsed="false">
      <c r="A144" s="42" t="s">
        <v>529</v>
      </c>
      <c r="B144" s="40" t="n">
        <v>15329.12</v>
      </c>
      <c r="C144" s="40" t="n">
        <v>18543.25</v>
      </c>
      <c r="D144" s="40" t="n">
        <v>14275.73</v>
      </c>
      <c r="E144" s="40" t="n">
        <v>15372.76</v>
      </c>
      <c r="F144" s="40" t="n">
        <v>15712.7</v>
      </c>
      <c r="G144" s="40" t="n">
        <v>15725.04</v>
      </c>
      <c r="H144" s="40" t="n">
        <v>15218.69</v>
      </c>
      <c r="I144" s="40" t="n">
        <v>16357.73</v>
      </c>
    </row>
    <row r="145" customFormat="false" ht="15" hidden="false" customHeight="false" outlineLevel="0" collapsed="false">
      <c r="A145" s="42" t="s">
        <v>530</v>
      </c>
      <c r="B145" s="40" t="n">
        <v>1317.66</v>
      </c>
      <c r="C145" s="40" t="n">
        <v>752.62</v>
      </c>
      <c r="D145" s="40" t="n">
        <v>922.49</v>
      </c>
      <c r="E145" s="40" t="n">
        <v>921.14</v>
      </c>
      <c r="F145" s="40" t="n">
        <v>830.47</v>
      </c>
      <c r="G145" s="40" t="n">
        <v>892.67</v>
      </c>
      <c r="H145" s="40" t="n">
        <v>796.3</v>
      </c>
      <c r="I145" s="40" t="n">
        <v>950.78</v>
      </c>
    </row>
    <row r="146" customFormat="false" ht="15" hidden="false" customHeight="false" outlineLevel="0" collapsed="false">
      <c r="A146" s="42" t="s">
        <v>531</v>
      </c>
      <c r="B146" s="40" t="n">
        <v>319</v>
      </c>
      <c r="C146" s="40" t="n">
        <v>319</v>
      </c>
      <c r="D146" s="40" t="n">
        <v>319</v>
      </c>
      <c r="E146" s="40" t="n">
        <v>341.33</v>
      </c>
      <c r="F146" s="40" t="n">
        <v>341.33</v>
      </c>
      <c r="G146" s="40" t="n">
        <v>341.33</v>
      </c>
      <c r="H146" s="40" t="n">
        <v>341.33</v>
      </c>
      <c r="I146" s="40" t="n">
        <v>341.33</v>
      </c>
    </row>
    <row r="147" customFormat="false" ht="15" hidden="false" customHeight="false" outlineLevel="0" collapsed="false">
      <c r="A147" s="42" t="s">
        <v>532</v>
      </c>
      <c r="B147" s="40" t="n">
        <v>1043</v>
      </c>
      <c r="C147" s="40" t="n">
        <v>1043</v>
      </c>
      <c r="D147" s="40" t="n">
        <v>1043</v>
      </c>
      <c r="E147" s="40" t="n">
        <v>1043</v>
      </c>
      <c r="F147" s="40" t="n">
        <v>1043</v>
      </c>
      <c r="G147" s="40" t="n">
        <v>1043</v>
      </c>
      <c r="H147" s="40" t="n">
        <v>1043</v>
      </c>
      <c r="I147" s="40" t="n">
        <v>1043</v>
      </c>
    </row>
    <row r="148" customFormat="false" ht="15" hidden="false" customHeight="false" outlineLevel="0" collapsed="false">
      <c r="A148" s="42" t="s">
        <v>533</v>
      </c>
      <c r="B148" s="40" t="n">
        <v>14365.42</v>
      </c>
      <c r="C148" s="40" t="n">
        <v>10285.7</v>
      </c>
      <c r="D148" s="40" t="n">
        <v>14282.72</v>
      </c>
      <c r="E148" s="40" t="n">
        <v>16199.33</v>
      </c>
      <c r="F148" s="40" t="n">
        <v>5398.56</v>
      </c>
      <c r="G148" s="40" t="n">
        <v>8066.8</v>
      </c>
      <c r="H148" s="40" t="n">
        <v>6304.26</v>
      </c>
      <c r="I148" s="40" t="n">
        <v>5461.66</v>
      </c>
    </row>
    <row r="149" customFormat="false" ht="15" hidden="false" customHeight="false" outlineLevel="0" collapsed="false">
      <c r="A149" s="42" t="s">
        <v>534</v>
      </c>
      <c r="B149" s="40" t="n">
        <v>15328.39</v>
      </c>
      <c r="C149" s="40" t="n">
        <v>14036.16</v>
      </c>
      <c r="D149" s="40" t="n">
        <v>15051.56</v>
      </c>
      <c r="E149" s="40" t="n">
        <v>16688.63</v>
      </c>
      <c r="F149" s="40" t="n">
        <v>27807.18</v>
      </c>
      <c r="G149" s="40" t="n">
        <v>14012.26</v>
      </c>
      <c r="H149" s="40" t="n">
        <v>14283.72</v>
      </c>
      <c r="I149" s="40" t="n">
        <v>13691.42</v>
      </c>
    </row>
    <row r="150" customFormat="false" ht="15" hidden="false" customHeight="false" outlineLevel="0" collapsed="false">
      <c r="A150" s="42" t="s">
        <v>535</v>
      </c>
      <c r="B150" s="40" t="n">
        <v>0</v>
      </c>
      <c r="C150" s="40" t="n">
        <v>0</v>
      </c>
      <c r="D150" s="40" t="n">
        <v>0</v>
      </c>
      <c r="E150" s="40" t="n">
        <v>0</v>
      </c>
      <c r="F150" s="40" t="n">
        <v>0</v>
      </c>
      <c r="G150" s="40" t="n">
        <v>1407.43</v>
      </c>
      <c r="H150" s="40" t="n">
        <v>56.37</v>
      </c>
      <c r="I150" s="40" t="n">
        <v>74.98</v>
      </c>
    </row>
    <row r="151" customFormat="false" ht="15" hidden="false" customHeight="false" outlineLevel="0" collapsed="false">
      <c r="A151" s="42" t="s">
        <v>536</v>
      </c>
      <c r="B151" s="40" t="n">
        <v>0</v>
      </c>
      <c r="C151" s="40" t="n">
        <v>0</v>
      </c>
      <c r="D151" s="40" t="n">
        <v>0</v>
      </c>
      <c r="E151" s="40" t="n">
        <v>0</v>
      </c>
      <c r="F151" s="40" t="n">
        <v>0</v>
      </c>
      <c r="G151" s="40" t="n">
        <v>0</v>
      </c>
      <c r="H151" s="40" t="n">
        <v>0</v>
      </c>
      <c r="I151" s="40" t="n">
        <v>0</v>
      </c>
    </row>
    <row r="152" customFormat="false" ht="15" hidden="false" customHeight="false" outlineLevel="0" collapsed="false">
      <c r="A152" s="42" t="s">
        <v>537</v>
      </c>
      <c r="B152" s="40" t="n">
        <v>3409</v>
      </c>
      <c r="C152" s="40" t="n">
        <v>3978.92</v>
      </c>
      <c r="D152" s="40" t="n">
        <v>3910</v>
      </c>
      <c r="E152" s="40" t="n">
        <v>4244</v>
      </c>
      <c r="F152" s="40" t="n">
        <v>4173.75</v>
      </c>
      <c r="G152" s="40" t="n">
        <v>4028.6</v>
      </c>
      <c r="H152" s="40" t="n">
        <v>4126</v>
      </c>
      <c r="I152" s="40" t="n">
        <v>4169.49</v>
      </c>
    </row>
    <row r="153" customFormat="false" ht="15" hidden="false" customHeight="false" outlineLevel="0" collapsed="false">
      <c r="A153" s="42" t="s">
        <v>538</v>
      </c>
      <c r="B153" s="40" t="n">
        <v>20046.46</v>
      </c>
      <c r="C153" s="40" t="n">
        <v>21603.25</v>
      </c>
      <c r="D153" s="40" t="n">
        <v>49688.47</v>
      </c>
      <c r="E153" s="40" t="n">
        <v>24996.78</v>
      </c>
      <c r="F153" s="40" t="n">
        <v>19300.85</v>
      </c>
      <c r="G153" s="40" t="n">
        <v>26848.19</v>
      </c>
      <c r="H153" s="40" t="n">
        <v>26078.03</v>
      </c>
      <c r="I153" s="40" t="n">
        <v>6221.19</v>
      </c>
    </row>
    <row r="154" customFormat="false" ht="15" hidden="false" customHeight="false" outlineLevel="0" collapsed="false">
      <c r="A154" s="8" t="s">
        <v>539</v>
      </c>
      <c r="B154" s="18" t="n">
        <f aca="false">SUM(B142:B153)</f>
        <v>196151.93</v>
      </c>
      <c r="C154" s="18" t="n">
        <f aca="false">SUM(C142:C153)</f>
        <v>201103.34</v>
      </c>
      <c r="D154" s="18" t="n">
        <f aca="false">SUM(D142:D153)</f>
        <v>236879.81</v>
      </c>
      <c r="E154" s="18" t="n">
        <f aca="false">SUM(E142:E153)</f>
        <v>218087.88</v>
      </c>
      <c r="F154" s="18" t="n">
        <f aca="false">SUM(F142:F153)</f>
        <v>198749.05</v>
      </c>
      <c r="G154" s="18" t="n">
        <f aca="false">SUM(G142:G153)</f>
        <v>207845</v>
      </c>
      <c r="H154" s="18" t="n">
        <f aca="false">SUM(H142:H153)</f>
        <v>199883.88</v>
      </c>
      <c r="I154" s="18" t="n">
        <f aca="false">SUM(I142:I153)</f>
        <v>133032.51</v>
      </c>
    </row>
    <row r="155" customFormat="false" ht="15" hidden="false" customHeight="false" outlineLevel="0" collapsed="false">
      <c r="A155" s="8" t="s">
        <v>540</v>
      </c>
      <c r="B155" s="18" t="n">
        <f aca="false">B137+B138-B139-B141-B154</f>
        <v>104604.97</v>
      </c>
      <c r="C155" s="18" t="n">
        <f aca="false">C137+C138-C139-C141-C154</f>
        <v>690.950000000041</v>
      </c>
      <c r="D155" s="18" t="n">
        <f aca="false">D137+D138-D139-D141-D154</f>
        <v>-126780.83</v>
      </c>
      <c r="E155" s="18" t="n">
        <f aca="false">E137+E138-E139-E141-E154</f>
        <v>65476.7900000002</v>
      </c>
      <c r="F155" s="18" t="n">
        <f aca="false">F137+F138-F139-F141-F154</f>
        <v>181972.23</v>
      </c>
      <c r="G155" s="18" t="n">
        <f aca="false">G137+G138-G139-G141-G154</f>
        <v>165110.96</v>
      </c>
      <c r="H155" s="18" t="n">
        <f aca="false">H137+H138-H139-H141-H154</f>
        <v>657075.48</v>
      </c>
      <c r="I155" s="18" t="n">
        <f aca="false">I137+I138-I139-I141-I154</f>
        <v>120838.24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0"/>
  </cols>
  <sheetData>
    <row r="1" customFormat="false" ht="17.35" hidden="false" customHeight="false" outlineLevel="0" collapsed="false">
      <c r="A1" s="6" t="s">
        <v>541</v>
      </c>
    </row>
    <row r="2" customFormat="false" ht="15" hidden="false" customHeight="false" outlineLevel="0" collapsed="false">
      <c r="A2" s="7" t="s">
        <v>542</v>
      </c>
    </row>
    <row r="3" customFormat="false" ht="15" hidden="false" customHeight="false" outlineLevel="0" collapsed="false">
      <c r="A3" s="13" t="s">
        <v>543</v>
      </c>
      <c r="B3" s="13" t="s">
        <v>544</v>
      </c>
      <c r="C3" s="13" t="s">
        <v>545</v>
      </c>
      <c r="D3" s="13" t="s">
        <v>546</v>
      </c>
      <c r="E3" s="13" t="s">
        <v>547</v>
      </c>
      <c r="F3" s="13" t="s">
        <v>548</v>
      </c>
      <c r="G3" s="13" t="s">
        <v>549</v>
      </c>
      <c r="H3" s="13" t="s">
        <v>550</v>
      </c>
      <c r="I3" s="13" t="s">
        <v>551</v>
      </c>
      <c r="J3" s="13" t="s">
        <v>552</v>
      </c>
      <c r="K3" s="13" t="s">
        <v>553</v>
      </c>
      <c r="L3" s="13" t="s">
        <v>554</v>
      </c>
      <c r="M3" s="13" t="s">
        <v>555</v>
      </c>
      <c r="N3" s="13" t="s">
        <v>556</v>
      </c>
    </row>
    <row r="4" customFormat="false" ht="15" hidden="false" customHeight="false" outlineLevel="0" collapsed="false">
      <c r="A4" s="64" t="s">
        <v>130</v>
      </c>
      <c r="B4" s="32" t="n">
        <v>0</v>
      </c>
      <c r="C4" s="32" t="n">
        <v>30000</v>
      </c>
      <c r="D4" s="32" t="n">
        <v>40000</v>
      </c>
      <c r="E4" s="32" t="n">
        <v>40000</v>
      </c>
      <c r="F4" s="32" t="n">
        <v>45000</v>
      </c>
      <c r="G4" s="32" t="n">
        <v>45000</v>
      </c>
      <c r="H4" s="32" t="n">
        <v>50000</v>
      </c>
      <c r="I4" s="32" t="n">
        <v>55000</v>
      </c>
      <c r="J4" s="32" t="n">
        <v>70000</v>
      </c>
      <c r="K4" s="32" t="n">
        <v>83333</v>
      </c>
      <c r="L4" s="32" t="n">
        <v>83333</v>
      </c>
      <c r="M4" s="32" t="n">
        <v>83334</v>
      </c>
      <c r="N4" s="18" t="n">
        <f aca="false">SUM(B4:M4)</f>
        <v>625000</v>
      </c>
    </row>
    <row r="5" customFormat="false" ht="15" hidden="false" customHeight="false" outlineLevel="0" collapsed="false">
      <c r="A5" s="64" t="s">
        <v>128</v>
      </c>
      <c r="B5" s="32" t="n">
        <v>25000</v>
      </c>
      <c r="C5" s="32" t="n">
        <v>30000</v>
      </c>
      <c r="D5" s="32" t="n">
        <v>40000</v>
      </c>
      <c r="E5" s="32" t="n">
        <v>50000</v>
      </c>
      <c r="F5" s="32" t="n">
        <v>50000</v>
      </c>
      <c r="G5" s="32" t="n">
        <v>50000</v>
      </c>
      <c r="H5" s="32" t="n">
        <v>66600</v>
      </c>
      <c r="I5" s="32" t="n">
        <v>66700</v>
      </c>
      <c r="J5" s="32" t="n">
        <v>66700</v>
      </c>
      <c r="K5" s="32" t="n">
        <v>83333</v>
      </c>
      <c r="L5" s="32" t="n">
        <v>83333</v>
      </c>
      <c r="M5" s="32" t="n">
        <v>83334</v>
      </c>
      <c r="N5" s="18" t="n">
        <f aca="false">SUM(B5:M5)</f>
        <v>695000</v>
      </c>
    </row>
    <row r="6" customFormat="false" ht="15" hidden="false" customHeight="false" outlineLevel="0" collapsed="false">
      <c r="A6" s="64" t="s">
        <v>140</v>
      </c>
      <c r="B6" s="32" t="n">
        <v>0</v>
      </c>
      <c r="C6" s="32" t="n">
        <v>40000</v>
      </c>
      <c r="D6" s="32" t="n">
        <v>50000</v>
      </c>
      <c r="E6" s="32" t="n">
        <v>60000</v>
      </c>
      <c r="F6" s="32" t="n">
        <v>70000</v>
      </c>
      <c r="G6" s="32" t="n">
        <v>80000</v>
      </c>
      <c r="H6" s="32" t="n">
        <v>100000</v>
      </c>
      <c r="I6" s="32" t="n">
        <v>100000</v>
      </c>
      <c r="J6" s="32" t="n">
        <v>100000</v>
      </c>
      <c r="K6" s="32" t="n">
        <v>100000</v>
      </c>
      <c r="L6" s="32" t="n">
        <v>100000</v>
      </c>
      <c r="M6" s="32" t="n">
        <v>100000</v>
      </c>
      <c r="N6" s="18" t="n">
        <f aca="false">SUM(B6:M6)</f>
        <v>900000</v>
      </c>
    </row>
    <row r="7" customFormat="false" ht="15" hidden="false" customHeight="false" outlineLevel="0" collapsed="false">
      <c r="A7" s="64" t="s">
        <v>557</v>
      </c>
      <c r="B7" s="32" t="n">
        <v>28000</v>
      </c>
      <c r="C7" s="32" t="n">
        <v>42000</v>
      </c>
      <c r="D7" s="32" t="n">
        <v>70000</v>
      </c>
      <c r="E7" s="32" t="n">
        <v>83000</v>
      </c>
      <c r="F7" s="32" t="n">
        <v>83000</v>
      </c>
      <c r="G7" s="32" t="n">
        <v>84000</v>
      </c>
      <c r="H7" s="32" t="n">
        <v>100000</v>
      </c>
      <c r="I7" s="32" t="n">
        <v>100000</v>
      </c>
      <c r="J7" s="32" t="n">
        <v>100000</v>
      </c>
      <c r="K7" s="32" t="n">
        <v>100000</v>
      </c>
      <c r="L7" s="32" t="n">
        <v>100000</v>
      </c>
      <c r="M7" s="32" t="n">
        <v>100000</v>
      </c>
      <c r="N7" s="18" t="n">
        <f aca="false">SUM(B7:M7)</f>
        <v>990000</v>
      </c>
    </row>
    <row r="8" customFormat="false" ht="15" hidden="false" customHeight="false" outlineLevel="0" collapsed="false">
      <c r="A8" s="64" t="s">
        <v>125</v>
      </c>
      <c r="B8" s="32" t="n">
        <v>330000</v>
      </c>
      <c r="C8" s="32" t="n">
        <v>330000</v>
      </c>
      <c r="D8" s="32" t="n">
        <v>330000</v>
      </c>
      <c r="E8" s="32" t="n">
        <v>330000</v>
      </c>
      <c r="F8" s="32" t="n">
        <v>330000</v>
      </c>
      <c r="G8" s="32" t="n">
        <v>330000</v>
      </c>
      <c r="H8" s="32" t="n">
        <v>330000</v>
      </c>
      <c r="I8" s="32" t="n">
        <v>330000</v>
      </c>
      <c r="J8" s="32" t="n">
        <v>330000</v>
      </c>
      <c r="K8" s="32" t="n">
        <v>330000</v>
      </c>
      <c r="L8" s="32" t="n">
        <v>330000</v>
      </c>
      <c r="M8" s="32" t="n">
        <v>330000</v>
      </c>
      <c r="N8" s="18" t="n">
        <f aca="false">SUM(B8:M8)</f>
        <v>3960000</v>
      </c>
    </row>
    <row r="9" customFormat="false" ht="15" hidden="false" customHeight="false" outlineLevel="0" collapsed="false">
      <c r="A9" s="64" t="s">
        <v>144</v>
      </c>
      <c r="B9" s="32" t="n">
        <v>40000</v>
      </c>
      <c r="C9" s="32" t="n">
        <v>40000</v>
      </c>
      <c r="D9" s="32" t="n">
        <v>40000</v>
      </c>
      <c r="E9" s="32" t="n">
        <v>40000</v>
      </c>
      <c r="F9" s="32" t="n">
        <v>40000</v>
      </c>
      <c r="G9" s="32" t="n">
        <v>40000</v>
      </c>
      <c r="H9" s="32" t="n">
        <v>40000</v>
      </c>
      <c r="I9" s="32" t="n">
        <v>40000</v>
      </c>
      <c r="J9" s="32" t="n">
        <v>40000</v>
      </c>
      <c r="K9" s="32" t="n">
        <v>40000</v>
      </c>
      <c r="L9" s="32" t="n">
        <v>40000</v>
      </c>
      <c r="M9" s="32" t="n">
        <v>40000</v>
      </c>
      <c r="N9" s="18" t="n">
        <f aca="false">SUM(B9:M9)</f>
        <v>480000</v>
      </c>
    </row>
    <row r="10" customFormat="false" ht="15" hidden="false" customHeight="false" outlineLevel="0" collapsed="false">
      <c r="A10" s="64" t="s">
        <v>143</v>
      </c>
      <c r="B10" s="32" t="n">
        <v>44000</v>
      </c>
      <c r="C10" s="32" t="n">
        <v>44000</v>
      </c>
      <c r="D10" s="32" t="n">
        <v>44000</v>
      </c>
      <c r="E10" s="32" t="n">
        <v>44000</v>
      </c>
      <c r="F10" s="32" t="n">
        <v>44000</v>
      </c>
      <c r="G10" s="32" t="n">
        <v>44000</v>
      </c>
      <c r="H10" s="32" t="n">
        <v>44000</v>
      </c>
      <c r="I10" s="32" t="n">
        <v>44000</v>
      </c>
      <c r="J10" s="32" t="n">
        <v>44000</v>
      </c>
      <c r="K10" s="32" t="n">
        <v>44000</v>
      </c>
      <c r="L10" s="32" t="n">
        <v>44000</v>
      </c>
      <c r="M10" s="32" t="n">
        <v>44000</v>
      </c>
      <c r="N10" s="18" t="n">
        <f aca="false">SUM(B10:M10)</f>
        <v>528000</v>
      </c>
    </row>
    <row r="11" customFormat="false" ht="15" hidden="false" customHeight="false" outlineLevel="0" collapsed="false">
      <c r="A11" s="25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18" t="n">
        <f aca="false">SUM(B11:M11)</f>
        <v>0</v>
      </c>
    </row>
    <row r="12" customFormat="false" ht="15" hidden="false" customHeight="false" outlineLevel="0" collapsed="false">
      <c r="A12" s="25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18" t="n">
        <f aca="false">SUM(B12:M12)</f>
        <v>0</v>
      </c>
    </row>
    <row r="13" customFormat="false" ht="15" hidden="false" customHeight="false" outlineLevel="0" collapsed="false">
      <c r="A13" s="25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18" t="n">
        <f aca="false">SUM(B13:M13)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2026-08-21T15:44:08Z</dcterms:created>
  <dc:creator>openpyxl</dc:creator>
  <dc:description/>
  <dc:language>en-US</dc:language>
  <cp:lastModifiedBy/>
  <dcterms:modified xsi:type="dcterms:W3CDTF">2026-08-21T15:44:08Z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